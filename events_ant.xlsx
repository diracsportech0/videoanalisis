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DE5918C-4926-4F20-B6D0-9DB2E93644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2" i="1" l="1"/>
  <c r="A212" i="1" s="1"/>
  <c r="F213" i="1"/>
  <c r="A213" i="1" s="1"/>
  <c r="F214" i="1"/>
  <c r="A214" i="1" s="1"/>
  <c r="F215" i="1"/>
  <c r="A215" i="1" s="1"/>
  <c r="F216" i="1"/>
  <c r="A216" i="1" s="1"/>
  <c r="F217" i="1"/>
  <c r="A217" i="1" s="1"/>
  <c r="F218" i="1"/>
  <c r="A218" i="1" s="1"/>
  <c r="F219" i="1"/>
  <c r="A219" i="1" s="1"/>
  <c r="F220" i="1"/>
  <c r="A220" i="1" s="1"/>
  <c r="F221" i="1"/>
  <c r="A221" i="1" s="1"/>
  <c r="F222" i="1"/>
  <c r="A222" i="1" s="1"/>
  <c r="F223" i="1"/>
  <c r="A223" i="1" s="1"/>
  <c r="F224" i="1"/>
  <c r="A224" i="1" s="1"/>
  <c r="F225" i="1"/>
  <c r="A225" i="1" s="1"/>
  <c r="F226" i="1"/>
  <c r="A226" i="1" s="1"/>
  <c r="F227" i="1"/>
  <c r="A227" i="1" s="1"/>
  <c r="F228" i="1"/>
  <c r="A228" i="1" s="1"/>
  <c r="F229" i="1"/>
  <c r="A229" i="1" s="1"/>
  <c r="F230" i="1"/>
  <c r="A230" i="1" s="1"/>
  <c r="F231" i="1"/>
  <c r="A231" i="1" s="1"/>
  <c r="F232" i="1"/>
  <c r="A232" i="1" s="1"/>
  <c r="F233" i="1"/>
  <c r="A233" i="1" s="1"/>
  <c r="F234" i="1"/>
  <c r="A234" i="1" s="1"/>
  <c r="F235" i="1"/>
  <c r="A235" i="1" s="1"/>
  <c r="F236" i="1"/>
  <c r="A236" i="1" s="1"/>
  <c r="F237" i="1"/>
  <c r="A237" i="1" s="1"/>
  <c r="F238" i="1"/>
  <c r="A238" i="1" s="1"/>
  <c r="F239" i="1"/>
  <c r="A239" i="1" s="1"/>
  <c r="F240" i="1"/>
  <c r="A240" i="1" s="1"/>
  <c r="F241" i="1"/>
  <c r="A241" i="1" s="1"/>
  <c r="F242" i="1"/>
  <c r="A242" i="1" s="1"/>
  <c r="F243" i="1"/>
  <c r="A243" i="1" s="1"/>
  <c r="F244" i="1"/>
  <c r="A244" i="1" s="1"/>
  <c r="F245" i="1"/>
  <c r="A245" i="1" s="1"/>
  <c r="F246" i="1"/>
  <c r="A246" i="1" s="1"/>
  <c r="F247" i="1"/>
  <c r="A247" i="1" s="1"/>
  <c r="F248" i="1"/>
  <c r="A248" i="1" s="1"/>
  <c r="F249" i="1"/>
  <c r="A249" i="1" s="1"/>
  <c r="F250" i="1"/>
  <c r="A250" i="1" s="1"/>
  <c r="F251" i="1"/>
  <c r="A251" i="1" s="1"/>
  <c r="F252" i="1"/>
  <c r="A252" i="1" s="1"/>
  <c r="F253" i="1"/>
  <c r="A253" i="1" s="1"/>
  <c r="F254" i="1"/>
  <c r="A254" i="1" s="1"/>
  <c r="F255" i="1"/>
  <c r="A255" i="1" s="1"/>
  <c r="F256" i="1"/>
  <c r="A256" i="1" s="1"/>
  <c r="F257" i="1"/>
  <c r="A257" i="1" s="1"/>
  <c r="F258" i="1"/>
  <c r="A258" i="1" s="1"/>
  <c r="F259" i="1"/>
  <c r="A259" i="1" s="1"/>
  <c r="F260" i="1"/>
  <c r="A260" i="1" s="1"/>
  <c r="F261" i="1"/>
  <c r="A261" i="1" s="1"/>
  <c r="F262" i="1"/>
  <c r="A262" i="1" s="1"/>
  <c r="F263" i="1"/>
  <c r="A263" i="1" s="1"/>
  <c r="F171" i="1" l="1"/>
  <c r="A171" i="1" s="1"/>
  <c r="F172" i="1"/>
  <c r="A172" i="1" s="1"/>
  <c r="F173" i="1"/>
  <c r="A173" i="1" s="1"/>
  <c r="F174" i="1"/>
  <c r="A174" i="1" s="1"/>
  <c r="F175" i="1"/>
  <c r="A175" i="1" s="1"/>
  <c r="F176" i="1"/>
  <c r="A176" i="1" s="1"/>
  <c r="F177" i="1"/>
  <c r="A177" i="1" s="1"/>
  <c r="F178" i="1"/>
  <c r="A178" i="1" s="1"/>
  <c r="F179" i="1"/>
  <c r="A179" i="1" s="1"/>
  <c r="F180" i="1"/>
  <c r="A180" i="1" s="1"/>
  <c r="F181" i="1"/>
  <c r="A181" i="1" s="1"/>
  <c r="F182" i="1"/>
  <c r="A182" i="1" s="1"/>
  <c r="F183" i="1"/>
  <c r="A183" i="1" s="1"/>
  <c r="F184" i="1"/>
  <c r="A184" i="1" s="1"/>
  <c r="F185" i="1"/>
  <c r="A185" i="1" s="1"/>
  <c r="F186" i="1"/>
  <c r="A186" i="1" s="1"/>
  <c r="F187" i="1"/>
  <c r="A187" i="1" s="1"/>
  <c r="F188" i="1"/>
  <c r="A188" i="1" s="1"/>
  <c r="F189" i="1"/>
  <c r="A189" i="1" s="1"/>
  <c r="F190" i="1"/>
  <c r="A190" i="1" s="1"/>
  <c r="F191" i="1"/>
  <c r="A191" i="1" s="1"/>
  <c r="F192" i="1"/>
  <c r="A192" i="1" s="1"/>
  <c r="F193" i="1"/>
  <c r="A193" i="1" s="1"/>
  <c r="F194" i="1"/>
  <c r="A194" i="1" s="1"/>
  <c r="F195" i="1"/>
  <c r="A195" i="1" s="1"/>
  <c r="F196" i="1"/>
  <c r="A196" i="1" s="1"/>
  <c r="F197" i="1"/>
  <c r="A197" i="1" s="1"/>
  <c r="F198" i="1"/>
  <c r="A198" i="1" s="1"/>
  <c r="F199" i="1"/>
  <c r="A199" i="1" s="1"/>
  <c r="F200" i="1"/>
  <c r="A200" i="1" s="1"/>
  <c r="F201" i="1"/>
  <c r="A201" i="1" s="1"/>
  <c r="F202" i="1"/>
  <c r="A202" i="1" s="1"/>
  <c r="F203" i="1"/>
  <c r="A203" i="1" s="1"/>
  <c r="F204" i="1"/>
  <c r="A204" i="1" s="1"/>
  <c r="F205" i="1"/>
  <c r="A205" i="1" s="1"/>
  <c r="F206" i="1"/>
  <c r="A206" i="1" s="1"/>
  <c r="F207" i="1"/>
  <c r="A207" i="1" s="1"/>
  <c r="F208" i="1"/>
  <c r="A208" i="1" s="1"/>
  <c r="F209" i="1"/>
  <c r="A209" i="1" s="1"/>
  <c r="F210" i="1"/>
  <c r="A210" i="1" s="1"/>
  <c r="F211" i="1"/>
  <c r="A211" i="1" s="1"/>
  <c r="F140" i="1"/>
  <c r="A140" i="1" s="1"/>
  <c r="F141" i="1"/>
  <c r="A141" i="1" s="1"/>
  <c r="F142" i="1"/>
  <c r="A142" i="1" s="1"/>
  <c r="F143" i="1"/>
  <c r="A143" i="1" s="1"/>
  <c r="F144" i="1"/>
  <c r="A144" i="1" s="1"/>
  <c r="F145" i="1"/>
  <c r="A145" i="1" s="1"/>
  <c r="F146" i="1"/>
  <c r="A146" i="1" s="1"/>
  <c r="F147" i="1"/>
  <c r="A147" i="1" s="1"/>
  <c r="F148" i="1"/>
  <c r="A148" i="1" s="1"/>
  <c r="F149" i="1"/>
  <c r="A149" i="1" s="1"/>
  <c r="F150" i="1"/>
  <c r="A150" i="1" s="1"/>
  <c r="F151" i="1"/>
  <c r="A151" i="1" s="1"/>
  <c r="F152" i="1"/>
  <c r="A152" i="1" s="1"/>
  <c r="F153" i="1"/>
  <c r="A153" i="1" s="1"/>
  <c r="F154" i="1"/>
  <c r="A154" i="1" s="1"/>
  <c r="F155" i="1"/>
  <c r="A155" i="1" s="1"/>
  <c r="F156" i="1"/>
  <c r="A156" i="1" s="1"/>
  <c r="F157" i="1"/>
  <c r="A157" i="1" s="1"/>
  <c r="F158" i="1"/>
  <c r="A158" i="1" s="1"/>
  <c r="F159" i="1"/>
  <c r="A159" i="1" s="1"/>
  <c r="F160" i="1"/>
  <c r="A160" i="1" s="1"/>
  <c r="F161" i="1"/>
  <c r="A161" i="1" s="1"/>
  <c r="F162" i="1"/>
  <c r="A162" i="1" s="1"/>
  <c r="F163" i="1"/>
  <c r="A163" i="1" s="1"/>
  <c r="F164" i="1"/>
  <c r="A164" i="1" s="1"/>
  <c r="F165" i="1"/>
  <c r="A165" i="1" s="1"/>
  <c r="F166" i="1"/>
  <c r="A166" i="1" s="1"/>
  <c r="F167" i="1"/>
  <c r="A167" i="1" s="1"/>
  <c r="F168" i="1"/>
  <c r="A168" i="1" s="1"/>
  <c r="F169" i="1"/>
  <c r="A169" i="1" s="1"/>
  <c r="F170" i="1"/>
  <c r="A170" i="1" s="1"/>
  <c r="F84" i="1" l="1"/>
  <c r="A84" i="1" s="1"/>
  <c r="F85" i="1"/>
  <c r="A85" i="1" s="1"/>
  <c r="F86" i="1"/>
  <c r="A86" i="1" s="1"/>
  <c r="F87" i="1"/>
  <c r="A87" i="1" s="1"/>
  <c r="F88" i="1"/>
  <c r="A88" i="1" s="1"/>
  <c r="F89" i="1"/>
  <c r="A89" i="1" s="1"/>
  <c r="F90" i="1"/>
  <c r="A90" i="1" s="1"/>
  <c r="F91" i="1"/>
  <c r="A91" i="1" s="1"/>
  <c r="F92" i="1"/>
  <c r="A92" i="1" s="1"/>
  <c r="F93" i="1"/>
  <c r="A93" i="1" s="1"/>
  <c r="F94" i="1"/>
  <c r="A94" i="1" s="1"/>
  <c r="F95" i="1"/>
  <c r="A95" i="1" s="1"/>
  <c r="F96" i="1"/>
  <c r="A96" i="1" s="1"/>
  <c r="F97" i="1"/>
  <c r="A97" i="1" s="1"/>
  <c r="F98" i="1"/>
  <c r="A98" i="1" s="1"/>
  <c r="F99" i="1"/>
  <c r="A99" i="1" s="1"/>
  <c r="F100" i="1"/>
  <c r="A100" i="1" s="1"/>
  <c r="F101" i="1"/>
  <c r="A101" i="1" s="1"/>
  <c r="F102" i="1"/>
  <c r="A102" i="1" s="1"/>
  <c r="F103" i="1"/>
  <c r="A103" i="1" s="1"/>
  <c r="F104" i="1"/>
  <c r="A104" i="1" s="1"/>
  <c r="F105" i="1"/>
  <c r="A105" i="1" s="1"/>
  <c r="F106" i="1"/>
  <c r="A106" i="1" s="1"/>
  <c r="F107" i="1"/>
  <c r="A107" i="1" s="1"/>
  <c r="F108" i="1"/>
  <c r="A108" i="1" s="1"/>
  <c r="F109" i="1"/>
  <c r="A109" i="1" s="1"/>
  <c r="F110" i="1"/>
  <c r="A110" i="1" s="1"/>
  <c r="F111" i="1"/>
  <c r="A111" i="1" s="1"/>
  <c r="F112" i="1"/>
  <c r="A112" i="1" s="1"/>
  <c r="F113" i="1"/>
  <c r="A113" i="1" s="1"/>
  <c r="F114" i="1"/>
  <c r="A114" i="1" s="1"/>
  <c r="F115" i="1"/>
  <c r="A115" i="1" s="1"/>
  <c r="F116" i="1"/>
  <c r="A116" i="1" s="1"/>
  <c r="F117" i="1"/>
  <c r="A117" i="1" s="1"/>
  <c r="F118" i="1"/>
  <c r="A118" i="1" s="1"/>
  <c r="F119" i="1"/>
  <c r="A119" i="1" s="1"/>
  <c r="F120" i="1"/>
  <c r="A120" i="1" s="1"/>
  <c r="F121" i="1"/>
  <c r="A121" i="1" s="1"/>
  <c r="F122" i="1"/>
  <c r="A122" i="1" s="1"/>
  <c r="F123" i="1"/>
  <c r="A123" i="1" s="1"/>
  <c r="F124" i="1"/>
  <c r="A124" i="1" s="1"/>
  <c r="F125" i="1"/>
  <c r="A125" i="1" s="1"/>
  <c r="F126" i="1"/>
  <c r="A126" i="1" s="1"/>
  <c r="F127" i="1"/>
  <c r="A127" i="1" s="1"/>
  <c r="F128" i="1"/>
  <c r="A128" i="1" s="1"/>
  <c r="F129" i="1"/>
  <c r="A129" i="1" s="1"/>
  <c r="F130" i="1"/>
  <c r="A130" i="1" s="1"/>
  <c r="F131" i="1"/>
  <c r="A131" i="1" s="1"/>
  <c r="F132" i="1"/>
  <c r="A132" i="1" s="1"/>
  <c r="F133" i="1"/>
  <c r="A133" i="1" s="1"/>
  <c r="F134" i="1"/>
  <c r="A134" i="1" s="1"/>
  <c r="F135" i="1"/>
  <c r="A135" i="1" s="1"/>
  <c r="F136" i="1"/>
  <c r="A136" i="1" s="1"/>
  <c r="F137" i="1"/>
  <c r="A137" i="1" s="1"/>
  <c r="F138" i="1"/>
  <c r="A138" i="1" s="1"/>
  <c r="F139" i="1"/>
  <c r="A139" i="1" s="1"/>
  <c r="F40" i="1"/>
  <c r="A40" i="1" s="1"/>
  <c r="F41" i="1"/>
  <c r="A41" i="1" s="1"/>
  <c r="F42" i="1"/>
  <c r="A42" i="1" s="1"/>
  <c r="F43" i="1"/>
  <c r="A43" i="1" s="1"/>
  <c r="F44" i="1"/>
  <c r="A44" i="1" s="1"/>
  <c r="F45" i="1"/>
  <c r="A45" i="1" s="1"/>
  <c r="F46" i="1"/>
  <c r="A46" i="1" s="1"/>
  <c r="F47" i="1"/>
  <c r="A47" i="1" s="1"/>
  <c r="F48" i="1"/>
  <c r="A48" i="1" s="1"/>
  <c r="F49" i="1"/>
  <c r="A49" i="1" s="1"/>
  <c r="F50" i="1"/>
  <c r="A50" i="1" s="1"/>
  <c r="F51" i="1"/>
  <c r="A51" i="1" s="1"/>
  <c r="F52" i="1"/>
  <c r="A52" i="1" s="1"/>
  <c r="F53" i="1"/>
  <c r="A53" i="1" s="1"/>
  <c r="F54" i="1"/>
  <c r="A54" i="1" s="1"/>
  <c r="F55" i="1"/>
  <c r="A55" i="1" s="1"/>
  <c r="F56" i="1"/>
  <c r="A56" i="1" s="1"/>
  <c r="F57" i="1"/>
  <c r="A57" i="1" s="1"/>
  <c r="F58" i="1"/>
  <c r="A58" i="1" s="1"/>
  <c r="F59" i="1"/>
  <c r="A59" i="1" s="1"/>
  <c r="F60" i="1"/>
  <c r="A60" i="1" s="1"/>
  <c r="F61" i="1"/>
  <c r="A61" i="1" s="1"/>
  <c r="F62" i="1"/>
  <c r="A62" i="1" s="1"/>
  <c r="F63" i="1"/>
  <c r="A63" i="1" s="1"/>
  <c r="F64" i="1"/>
  <c r="A64" i="1" s="1"/>
  <c r="F65" i="1"/>
  <c r="A65" i="1" s="1"/>
  <c r="F66" i="1"/>
  <c r="A66" i="1" s="1"/>
  <c r="F67" i="1"/>
  <c r="A67" i="1" s="1"/>
  <c r="F68" i="1"/>
  <c r="A68" i="1" s="1"/>
  <c r="F69" i="1"/>
  <c r="A69" i="1" s="1"/>
  <c r="F70" i="1"/>
  <c r="A70" i="1" s="1"/>
  <c r="F71" i="1"/>
  <c r="A71" i="1" s="1"/>
  <c r="F72" i="1"/>
  <c r="A72" i="1" s="1"/>
  <c r="F73" i="1"/>
  <c r="A73" i="1" s="1"/>
  <c r="F74" i="1"/>
  <c r="A74" i="1" s="1"/>
  <c r="F75" i="1"/>
  <c r="A75" i="1" s="1"/>
  <c r="F76" i="1"/>
  <c r="A76" i="1" s="1"/>
  <c r="F77" i="1"/>
  <c r="A77" i="1" s="1"/>
  <c r="F78" i="1"/>
  <c r="A78" i="1" s="1"/>
  <c r="F79" i="1"/>
  <c r="A79" i="1" s="1"/>
  <c r="F80" i="1"/>
  <c r="A80" i="1" s="1"/>
  <c r="F81" i="1"/>
  <c r="A81" i="1" s="1"/>
  <c r="F82" i="1"/>
  <c r="A82" i="1" s="1"/>
  <c r="F83" i="1"/>
  <c r="A83" i="1" s="1"/>
  <c r="F3" i="1" l="1"/>
  <c r="A3" i="1" s="1"/>
  <c r="F4" i="1"/>
  <c r="A4" i="1" s="1"/>
  <c r="F5" i="1"/>
  <c r="A5" i="1" s="1"/>
  <c r="F6" i="1"/>
  <c r="A6" i="1" s="1"/>
  <c r="F7" i="1"/>
  <c r="A7" i="1" s="1"/>
  <c r="F8" i="1"/>
  <c r="A8" i="1" s="1"/>
  <c r="F9" i="1"/>
  <c r="A9" i="1" s="1"/>
  <c r="F10" i="1"/>
  <c r="A10" i="1" s="1"/>
  <c r="F11" i="1"/>
  <c r="A11" i="1" s="1"/>
  <c r="F12" i="1"/>
  <c r="A12" i="1" s="1"/>
  <c r="F13" i="1"/>
  <c r="A13" i="1" s="1"/>
  <c r="F14" i="1"/>
  <c r="A14" i="1" s="1"/>
  <c r="F15" i="1"/>
  <c r="A15" i="1" s="1"/>
  <c r="F16" i="1"/>
  <c r="A16" i="1" s="1"/>
  <c r="F17" i="1"/>
  <c r="A17" i="1" s="1"/>
  <c r="F18" i="1"/>
  <c r="A18" i="1" s="1"/>
  <c r="F19" i="1"/>
  <c r="A19" i="1" s="1"/>
  <c r="F20" i="1"/>
  <c r="A20" i="1" s="1"/>
  <c r="F21" i="1"/>
  <c r="A21" i="1" s="1"/>
  <c r="F22" i="1"/>
  <c r="A22" i="1" s="1"/>
  <c r="F23" i="1"/>
  <c r="A23" i="1" s="1"/>
  <c r="F24" i="1"/>
  <c r="A24" i="1" s="1"/>
  <c r="F25" i="1"/>
  <c r="A25" i="1" s="1"/>
  <c r="F26" i="1"/>
  <c r="A26" i="1" s="1"/>
  <c r="F27" i="1"/>
  <c r="A27" i="1" s="1"/>
  <c r="F28" i="1"/>
  <c r="A28" i="1" s="1"/>
  <c r="F29" i="1"/>
  <c r="A29" i="1" s="1"/>
  <c r="F30" i="1"/>
  <c r="A30" i="1" s="1"/>
  <c r="F31" i="1"/>
  <c r="A31" i="1" s="1"/>
  <c r="F32" i="1"/>
  <c r="A32" i="1" s="1"/>
  <c r="F33" i="1"/>
  <c r="A33" i="1" s="1"/>
  <c r="F34" i="1"/>
  <c r="A34" i="1" s="1"/>
  <c r="F35" i="1"/>
  <c r="A35" i="1" s="1"/>
  <c r="F36" i="1"/>
  <c r="A36" i="1" s="1"/>
  <c r="F37" i="1"/>
  <c r="A37" i="1" s="1"/>
  <c r="F38" i="1"/>
  <c r="A38" i="1" s="1"/>
  <c r="F39" i="1"/>
  <c r="A39" i="1" s="1"/>
  <c r="F2" i="1" l="1"/>
  <c r="A2" i="1" l="1"/>
</calcChain>
</file>

<file path=xl/sharedStrings.xml><?xml version="1.0" encoding="utf-8"?>
<sst xmlns="http://schemas.openxmlformats.org/spreadsheetml/2006/main" count="3377" uniqueCount="1014">
  <si>
    <t>Match</t>
  </si>
  <si>
    <t>name_club1</t>
  </si>
  <si>
    <t>name_club2</t>
  </si>
  <si>
    <t>npartido</t>
  </si>
  <si>
    <t>match_filter</t>
  </si>
  <si>
    <t>video</t>
  </si>
  <si>
    <t>Event</t>
  </si>
  <si>
    <t>start_time</t>
  </si>
  <si>
    <t>time</t>
  </si>
  <si>
    <t>end_time</t>
  </si>
  <si>
    <t>XY</t>
  </si>
  <si>
    <t>output</t>
  </si>
  <si>
    <t>type</t>
  </si>
  <si>
    <t>player</t>
  </si>
  <si>
    <t>player2</t>
  </si>
  <si>
    <t>tiempo</t>
  </si>
  <si>
    <t>invertido</t>
  </si>
  <si>
    <t>Pase</t>
  </si>
  <si>
    <t>Correcto</t>
  </si>
  <si>
    <t>1T</t>
  </si>
  <si>
    <t>False</t>
  </si>
  <si>
    <t>Otras perdidas</t>
  </si>
  <si>
    <t>Presión</t>
  </si>
  <si>
    <t>Erroneo</t>
  </si>
  <si>
    <t>Duelo defensivo</t>
  </si>
  <si>
    <t>Falta cometida</t>
  </si>
  <si>
    <t>Despeje</t>
  </si>
  <si>
    <t>Regate</t>
  </si>
  <si>
    <t>Carrera</t>
  </si>
  <si>
    <t>Interceptación</t>
  </si>
  <si>
    <t>09:48</t>
  </si>
  <si>
    <t>09:53</t>
  </si>
  <si>
    <t>09:56</t>
  </si>
  <si>
    <t>10:54</t>
  </si>
  <si>
    <t>16:24</t>
  </si>
  <si>
    <t>22:27</t>
  </si>
  <si>
    <t>06:46</t>
  </si>
  <si>
    <t>08:20</t>
  </si>
  <si>
    <t>22:34</t>
  </si>
  <si>
    <t>29:29</t>
  </si>
  <si>
    <t>06:44</t>
  </si>
  <si>
    <t>16:20</t>
  </si>
  <si>
    <t>08:17</t>
  </si>
  <si>
    <t>Recuperacion</t>
  </si>
  <si>
    <t>subtype</t>
  </si>
  <si>
    <t>Recu</t>
  </si>
  <si>
    <t>etapa</t>
  </si>
  <si>
    <t>06:42</t>
  </si>
  <si>
    <t>09:43</t>
  </si>
  <si>
    <t>09:45</t>
  </si>
  <si>
    <t>10:49</t>
  </si>
  <si>
    <t>10:52</t>
  </si>
  <si>
    <t>10:58</t>
  </si>
  <si>
    <t>16:22</t>
  </si>
  <si>
    <t>19:30</t>
  </si>
  <si>
    <t>19:33</t>
  </si>
  <si>
    <t>22:33</t>
  </si>
  <si>
    <t>29:37</t>
  </si>
  <si>
    <t>38:36</t>
  </si>
  <si>
    <t>38:39</t>
  </si>
  <si>
    <t>38:42</t>
  </si>
  <si>
    <t>26;95</t>
  </si>
  <si>
    <t>42:15</t>
  </si>
  <si>
    <t>46:55</t>
  </si>
  <si>
    <t>46:59</t>
  </si>
  <si>
    <t>47:02</t>
  </si>
  <si>
    <t>51:59</t>
  </si>
  <si>
    <t>52:15</t>
  </si>
  <si>
    <t>52:26</t>
  </si>
  <si>
    <t>52:29</t>
  </si>
  <si>
    <t>57;81</t>
  </si>
  <si>
    <t>53:57</t>
  </si>
  <si>
    <t>54:00</t>
  </si>
  <si>
    <t>54:03</t>
  </si>
  <si>
    <t>54:05</t>
  </si>
  <si>
    <t>54:09</t>
  </si>
  <si>
    <t>60:06</t>
  </si>
  <si>
    <t>60:09</t>
  </si>
  <si>
    <t>60:14</t>
  </si>
  <si>
    <t>65:36</t>
  </si>
  <si>
    <t>10;89</t>
  </si>
  <si>
    <t>69:52</t>
  </si>
  <si>
    <t>70:01</t>
  </si>
  <si>
    <t>70:00</t>
  </si>
  <si>
    <t>54;95</t>
  </si>
  <si>
    <t>70:07</t>
  </si>
  <si>
    <t>78:54</t>
  </si>
  <si>
    <t>79:01</t>
  </si>
  <si>
    <t>79:03</t>
  </si>
  <si>
    <t>2T</t>
  </si>
  <si>
    <t>True</t>
  </si>
  <si>
    <t>https://www.youtube.com/watch?v=S-a-upZ0AVw</t>
  </si>
  <si>
    <t>ACARSUR</t>
  </si>
  <si>
    <t>FBC AURORA</t>
  </si>
  <si>
    <t>01:42</t>
  </si>
  <si>
    <t>01:46</t>
  </si>
  <si>
    <t>01:49</t>
  </si>
  <si>
    <t>70;7</t>
  </si>
  <si>
    <t>42;4 36;1</t>
  </si>
  <si>
    <t>08:14</t>
  </si>
  <si>
    <t>58;36</t>
  </si>
  <si>
    <t>09:42</t>
  </si>
  <si>
    <t>45;24</t>
  </si>
  <si>
    <t>09:47</t>
  </si>
  <si>
    <t>09:50</t>
  </si>
  <si>
    <t>46;8</t>
  </si>
  <si>
    <t>48;3</t>
  </si>
  <si>
    <t>10:55</t>
  </si>
  <si>
    <t>56;17</t>
  </si>
  <si>
    <t>10:56</t>
  </si>
  <si>
    <t>35;2 34;3</t>
  </si>
  <si>
    <t>54;7 31;2</t>
  </si>
  <si>
    <t>19:14</t>
  </si>
  <si>
    <t>19:17</t>
  </si>
  <si>
    <t>19:21</t>
  </si>
  <si>
    <t>72;32</t>
  </si>
  <si>
    <t>19:36</t>
  </si>
  <si>
    <t>40;5</t>
  </si>
  <si>
    <t>19:32</t>
  </si>
  <si>
    <t>19:34</t>
  </si>
  <si>
    <t>36;5 34;8</t>
  </si>
  <si>
    <t>22:30</t>
  </si>
  <si>
    <t>31;6</t>
  </si>
  <si>
    <t>22:36</t>
  </si>
  <si>
    <t>24;11</t>
  </si>
  <si>
    <t>25:00</t>
  </si>
  <si>
    <t>25:05</t>
  </si>
  <si>
    <t>25:08</t>
  </si>
  <si>
    <t>78;6</t>
  </si>
  <si>
    <t>29:34</t>
  </si>
  <si>
    <t>78;13 46;15</t>
  </si>
  <si>
    <t>75;10</t>
  </si>
  <si>
    <t>39:59</t>
  </si>
  <si>
    <t>40:04</t>
  </si>
  <si>
    <t>40:07</t>
  </si>
  <si>
    <t>42:13</t>
  </si>
  <si>
    <t>42:18</t>
  </si>
  <si>
    <t>77;88 85;92</t>
  </si>
  <si>
    <t>29;95</t>
  </si>
  <si>
    <t>48:03</t>
  </si>
  <si>
    <t>48:06</t>
  </si>
  <si>
    <t>48:09</t>
  </si>
  <si>
    <t>14;92</t>
  </si>
  <si>
    <t>52:02</t>
  </si>
  <si>
    <t>52:05</t>
  </si>
  <si>
    <t>9;93</t>
  </si>
  <si>
    <t>52:08</t>
  </si>
  <si>
    <t>52:12</t>
  </si>
  <si>
    <t>13;88</t>
  </si>
  <si>
    <t>52:21</t>
  </si>
  <si>
    <t>22;83</t>
  </si>
  <si>
    <t>54:07</t>
  </si>
  <si>
    <t>51;99</t>
  </si>
  <si>
    <t>59:19</t>
  </si>
  <si>
    <t>59:22</t>
  </si>
  <si>
    <t>59:25</t>
  </si>
  <si>
    <t>28;81</t>
  </si>
  <si>
    <t>60:03</t>
  </si>
  <si>
    <t>20;88</t>
  </si>
  <si>
    <t>60:17</t>
  </si>
  <si>
    <t>36;62</t>
  </si>
  <si>
    <t>60:25</t>
  </si>
  <si>
    <t>60:28</t>
  </si>
  <si>
    <t>60:31</t>
  </si>
  <si>
    <t>33;63</t>
  </si>
  <si>
    <t>65:39</t>
  </si>
  <si>
    <t>65:42</t>
  </si>
  <si>
    <t>66:50</t>
  </si>
  <si>
    <t>66:52</t>
  </si>
  <si>
    <t>66:54</t>
  </si>
  <si>
    <t>6;82 21;80</t>
  </si>
  <si>
    <t>69:57</t>
  </si>
  <si>
    <t>39;72</t>
  </si>
  <si>
    <t>70:04</t>
  </si>
  <si>
    <t>26;91</t>
  </si>
  <si>
    <t>73:12</t>
  </si>
  <si>
    <t>73:15</t>
  </si>
  <si>
    <t>73:18</t>
  </si>
  <si>
    <t>54;94</t>
  </si>
  <si>
    <t>75:08</t>
  </si>
  <si>
    <t>75:13</t>
  </si>
  <si>
    <t>75:16</t>
  </si>
  <si>
    <t>78:57</t>
  </si>
  <si>
    <t>79:00</t>
  </si>
  <si>
    <t>24;88</t>
  </si>
  <si>
    <t>78:56</t>
  </si>
  <si>
    <t>18;95</t>
  </si>
  <si>
    <t>Yhamil</t>
  </si>
  <si>
    <t xml:space="preserve"> </t>
  </si>
  <si>
    <t>distrital</t>
  </si>
  <si>
    <t>02:02</t>
  </si>
  <si>
    <t>02:04</t>
  </si>
  <si>
    <t>02:07</t>
  </si>
  <si>
    <t>79;7 72;5</t>
  </si>
  <si>
    <t>02:30</t>
  </si>
  <si>
    <t>02:34</t>
  </si>
  <si>
    <t>02:38</t>
  </si>
  <si>
    <t>90;14</t>
  </si>
  <si>
    <t>05:14</t>
  </si>
  <si>
    <t>05:16</t>
  </si>
  <si>
    <t>05:22</t>
  </si>
  <si>
    <t>60;1 58;3</t>
  </si>
  <si>
    <t>09:06</t>
  </si>
  <si>
    <t>09:09</t>
  </si>
  <si>
    <t>09:12</t>
  </si>
  <si>
    <t>09:10</t>
  </si>
  <si>
    <t>09:14</t>
  </si>
  <si>
    <t>58;21 45;20</t>
  </si>
  <si>
    <t>11:40</t>
  </si>
  <si>
    <t>11:43</t>
  </si>
  <si>
    <t>11:46</t>
  </si>
  <si>
    <t>11:45</t>
  </si>
  <si>
    <t>11:47</t>
  </si>
  <si>
    <t>35;7 30;4</t>
  </si>
  <si>
    <t>11:48</t>
  </si>
  <si>
    <t>11:51</t>
  </si>
  <si>
    <t>11:57</t>
  </si>
  <si>
    <t>20;22</t>
  </si>
  <si>
    <t>11:49</t>
  </si>
  <si>
    <t>11:54</t>
  </si>
  <si>
    <t>6;22</t>
  </si>
  <si>
    <t>11:52</t>
  </si>
  <si>
    <t>11:56</t>
  </si>
  <si>
    <t>11:58</t>
  </si>
  <si>
    <t>9;11</t>
  </si>
  <si>
    <t>13:34</t>
  </si>
  <si>
    <t>13:37</t>
  </si>
  <si>
    <t>13:40</t>
  </si>
  <si>
    <t>35;7</t>
  </si>
  <si>
    <t>14:20</t>
  </si>
  <si>
    <t>14:23</t>
  </si>
  <si>
    <t>14:26</t>
  </si>
  <si>
    <t>67;5</t>
  </si>
  <si>
    <t>14:31</t>
  </si>
  <si>
    <t>14:35</t>
  </si>
  <si>
    <t>14:39</t>
  </si>
  <si>
    <t>86;7</t>
  </si>
  <si>
    <t>19:31</t>
  </si>
  <si>
    <t>19:37</t>
  </si>
  <si>
    <t>62;60</t>
  </si>
  <si>
    <t>20:33</t>
  </si>
  <si>
    <t>20:36</t>
  </si>
  <si>
    <t>20:39</t>
  </si>
  <si>
    <t>58;29</t>
  </si>
  <si>
    <t>21:05</t>
  </si>
  <si>
    <t>21:08</t>
  </si>
  <si>
    <t>21:12</t>
  </si>
  <si>
    <t>60;6</t>
  </si>
  <si>
    <t>23:35</t>
  </si>
  <si>
    <t>23:40</t>
  </si>
  <si>
    <t>23:43</t>
  </si>
  <si>
    <t>43;6</t>
  </si>
  <si>
    <t>25:10</t>
  </si>
  <si>
    <t>25:12</t>
  </si>
  <si>
    <t>64;15 54;6</t>
  </si>
  <si>
    <t>27:58</t>
  </si>
  <si>
    <t>28:03</t>
  </si>
  <si>
    <t>28:08</t>
  </si>
  <si>
    <t>7;6 2;24</t>
  </si>
  <si>
    <t>28:05</t>
  </si>
  <si>
    <t>28:07</t>
  </si>
  <si>
    <t>4;27 8;50</t>
  </si>
  <si>
    <t>28:45</t>
  </si>
  <si>
    <t>28:49</t>
  </si>
  <si>
    <t>28:53</t>
  </si>
  <si>
    <t>68;40</t>
  </si>
  <si>
    <t>28:51</t>
  </si>
  <si>
    <t>64;38 47;27</t>
  </si>
  <si>
    <t>32:35</t>
  </si>
  <si>
    <t>32:38</t>
  </si>
  <si>
    <t>32:41</t>
  </si>
  <si>
    <t>14;16 7;46</t>
  </si>
  <si>
    <t>32:59</t>
  </si>
  <si>
    <t>33:02</t>
  </si>
  <si>
    <t>33:05</t>
  </si>
  <si>
    <t>52;23</t>
  </si>
  <si>
    <t>36:55</t>
  </si>
  <si>
    <t>37:00</t>
  </si>
  <si>
    <t>37:02</t>
  </si>
  <si>
    <t>81;80</t>
  </si>
  <si>
    <t>36:57</t>
  </si>
  <si>
    <t>37:09</t>
  </si>
  <si>
    <t>37:21</t>
  </si>
  <si>
    <t>83;87 99;72</t>
  </si>
  <si>
    <t>39:39</t>
  </si>
  <si>
    <t>39:42</t>
  </si>
  <si>
    <t>39:45</t>
  </si>
  <si>
    <t>27;84</t>
  </si>
  <si>
    <t>39:40</t>
  </si>
  <si>
    <t>39:44</t>
  </si>
  <si>
    <t>28;83 36;78</t>
  </si>
  <si>
    <t>39:51</t>
  </si>
  <si>
    <t>39:56</t>
  </si>
  <si>
    <t>40:01</t>
  </si>
  <si>
    <t>29;67 71;5</t>
  </si>
  <si>
    <t>42:58</t>
  </si>
  <si>
    <t>43:00</t>
  </si>
  <si>
    <t>43:02</t>
  </si>
  <si>
    <t>62;43 67;44</t>
  </si>
  <si>
    <t>43:06</t>
  </si>
  <si>
    <t>43:09</t>
  </si>
  <si>
    <t>43:12</t>
  </si>
  <si>
    <t>76;53</t>
  </si>
  <si>
    <t>44:01</t>
  </si>
  <si>
    <t>44:04</t>
  </si>
  <si>
    <t>44:07</t>
  </si>
  <si>
    <t>33;94</t>
  </si>
  <si>
    <t>46:29</t>
  </si>
  <si>
    <t>46:33</t>
  </si>
  <si>
    <t>46:36</t>
  </si>
  <si>
    <t>80;84 96;84</t>
  </si>
  <si>
    <t>56:45</t>
  </si>
  <si>
    <t>56:47</t>
  </si>
  <si>
    <t>56:49</t>
  </si>
  <si>
    <t>83;90 87;87</t>
  </si>
  <si>
    <t>60:46</t>
  </si>
  <si>
    <t>60:49</t>
  </si>
  <si>
    <t>60:52</t>
  </si>
  <si>
    <t>26;62</t>
  </si>
  <si>
    <t>60:56</t>
  </si>
  <si>
    <t>61:05</t>
  </si>
  <si>
    <t>30;71 95;84</t>
  </si>
  <si>
    <t>60:57</t>
  </si>
  <si>
    <t>60:59</t>
  </si>
  <si>
    <t>71;69</t>
  </si>
  <si>
    <t>61:01</t>
  </si>
  <si>
    <t>61:03</t>
  </si>
  <si>
    <t>97;83 95;68</t>
  </si>
  <si>
    <t>64:28</t>
  </si>
  <si>
    <t>64:31</t>
  </si>
  <si>
    <t>64:34</t>
  </si>
  <si>
    <t>44;90</t>
  </si>
  <si>
    <t>64:33</t>
  </si>
  <si>
    <t>64:35</t>
  </si>
  <si>
    <t>44;95 67;95</t>
  </si>
  <si>
    <t>69:16</t>
  </si>
  <si>
    <t>69:20</t>
  </si>
  <si>
    <t>69:23</t>
  </si>
  <si>
    <t>9;60</t>
  </si>
  <si>
    <t>71:32</t>
  </si>
  <si>
    <t>71:43</t>
  </si>
  <si>
    <t>71:54</t>
  </si>
  <si>
    <t>24;75 98;90</t>
  </si>
  <si>
    <t>71:48</t>
  </si>
  <si>
    <t>71:50</t>
  </si>
  <si>
    <t>71:49</t>
  </si>
  <si>
    <t>71:51</t>
  </si>
  <si>
    <t>71:53</t>
  </si>
  <si>
    <t>95;69 87;54</t>
  </si>
  <si>
    <t>UCV AQP</t>
  </si>
  <si>
    <t>https://www.youtube.com/watch?v=LWFLCPMQxl8</t>
  </si>
  <si>
    <t>01:34</t>
  </si>
  <si>
    <t>01:37</t>
  </si>
  <si>
    <t>01:40</t>
  </si>
  <si>
    <t>19;22</t>
  </si>
  <si>
    <t>Duelo aéreo</t>
  </si>
  <si>
    <t>03:43</t>
  </si>
  <si>
    <t>03:46</t>
  </si>
  <si>
    <t>03:50</t>
  </si>
  <si>
    <t>54;30</t>
  </si>
  <si>
    <t>09:05</t>
  </si>
  <si>
    <t>09:08</t>
  </si>
  <si>
    <t>09:11</t>
  </si>
  <si>
    <t>66;18</t>
  </si>
  <si>
    <t>10:07</t>
  </si>
  <si>
    <t>10:10</t>
  </si>
  <si>
    <t>10:13</t>
  </si>
  <si>
    <t>42;23</t>
  </si>
  <si>
    <t>10:11</t>
  </si>
  <si>
    <t>10:15</t>
  </si>
  <si>
    <t>46;13 42;5</t>
  </si>
  <si>
    <t>10:16</t>
  </si>
  <si>
    <t>10:19</t>
  </si>
  <si>
    <t>10:22</t>
  </si>
  <si>
    <t>59;6</t>
  </si>
  <si>
    <t>10:23</t>
  </si>
  <si>
    <t>10:25</t>
  </si>
  <si>
    <t>10:27</t>
  </si>
  <si>
    <t>57;10 55;11</t>
  </si>
  <si>
    <t>13:45</t>
  </si>
  <si>
    <t>13:47</t>
  </si>
  <si>
    <t>13:50</t>
  </si>
  <si>
    <t>60;13 37;6</t>
  </si>
  <si>
    <t>13:49</t>
  </si>
  <si>
    <t>13:53</t>
  </si>
  <si>
    <t>13:55</t>
  </si>
  <si>
    <t>51;17</t>
  </si>
  <si>
    <t>14:12</t>
  </si>
  <si>
    <t>14:15</t>
  </si>
  <si>
    <t>14:18</t>
  </si>
  <si>
    <t>76;5</t>
  </si>
  <si>
    <t>14:40</t>
  </si>
  <si>
    <t>14:44</t>
  </si>
  <si>
    <t>14:46</t>
  </si>
  <si>
    <t>92;6</t>
  </si>
  <si>
    <t>17:50</t>
  </si>
  <si>
    <t>17:53</t>
  </si>
  <si>
    <t>17:56</t>
  </si>
  <si>
    <t>54;26</t>
  </si>
  <si>
    <t>20:34</t>
  </si>
  <si>
    <t>62;13 53;11</t>
  </si>
  <si>
    <t>20:41</t>
  </si>
  <si>
    <t>20:45</t>
  </si>
  <si>
    <t>20:49</t>
  </si>
  <si>
    <t>58;14 27;50</t>
  </si>
  <si>
    <t>24:19</t>
  </si>
  <si>
    <t>24:22</t>
  </si>
  <si>
    <t>24:25</t>
  </si>
  <si>
    <t>54;29</t>
  </si>
  <si>
    <t>24:30</t>
  </si>
  <si>
    <t>24:33</t>
  </si>
  <si>
    <t>24:36</t>
  </si>
  <si>
    <t>62;5 45;4</t>
  </si>
  <si>
    <t>26:17</t>
  </si>
  <si>
    <t>26:19</t>
  </si>
  <si>
    <t>26:22</t>
  </si>
  <si>
    <t>77;6</t>
  </si>
  <si>
    <t>26:16</t>
  </si>
  <si>
    <t>26:20</t>
  </si>
  <si>
    <t>76;8</t>
  </si>
  <si>
    <t>29:43</t>
  </si>
  <si>
    <t>29:48</t>
  </si>
  <si>
    <t>29:53</t>
  </si>
  <si>
    <t>33;6</t>
  </si>
  <si>
    <t>Falta recibida</t>
  </si>
  <si>
    <t>29:45</t>
  </si>
  <si>
    <t>29:50</t>
  </si>
  <si>
    <t>30:23</t>
  </si>
  <si>
    <t>27;4</t>
  </si>
  <si>
    <t>T. libre</t>
  </si>
  <si>
    <t>30:21</t>
  </si>
  <si>
    <t>30:27</t>
  </si>
  <si>
    <t>30:32</t>
  </si>
  <si>
    <t>23;5 7;47</t>
  </si>
  <si>
    <t>31:12</t>
  </si>
  <si>
    <t>31:15</t>
  </si>
  <si>
    <t>31:20</t>
  </si>
  <si>
    <t>31:16</t>
  </si>
  <si>
    <t>31:22</t>
  </si>
  <si>
    <t>54;12</t>
  </si>
  <si>
    <t>31:31</t>
  </si>
  <si>
    <t>31:34</t>
  </si>
  <si>
    <t>31:37</t>
  </si>
  <si>
    <t>70;5</t>
  </si>
  <si>
    <t>32:07</t>
  </si>
  <si>
    <t>32:10</t>
  </si>
  <si>
    <t>32:13</t>
  </si>
  <si>
    <t>44;8</t>
  </si>
  <si>
    <t>34:51</t>
  </si>
  <si>
    <t>34:54</t>
  </si>
  <si>
    <t>34:57</t>
  </si>
  <si>
    <t>27;41</t>
  </si>
  <si>
    <t>Tiro</t>
  </si>
  <si>
    <t>34:48</t>
  </si>
  <si>
    <t>34:55</t>
  </si>
  <si>
    <t>23;44</t>
  </si>
  <si>
    <t>44:19</t>
  </si>
  <si>
    <t>44:22</t>
  </si>
  <si>
    <t>44:25</t>
  </si>
  <si>
    <t>23;91</t>
  </si>
  <si>
    <t>44:23</t>
  </si>
  <si>
    <t>44:27</t>
  </si>
  <si>
    <t>44:29</t>
  </si>
  <si>
    <t>45:38</t>
  </si>
  <si>
    <t>45:42</t>
  </si>
  <si>
    <t>45:45</t>
  </si>
  <si>
    <t>39;79</t>
  </si>
  <si>
    <t>45:44</t>
  </si>
  <si>
    <t>45:46</t>
  </si>
  <si>
    <t>44;80 51;79</t>
  </si>
  <si>
    <t>46:07</t>
  </si>
  <si>
    <t>46:10</t>
  </si>
  <si>
    <t>46:14</t>
  </si>
  <si>
    <t>35;71</t>
  </si>
  <si>
    <t>48:25</t>
  </si>
  <si>
    <t>48:28</t>
  </si>
  <si>
    <t>48:31</t>
  </si>
  <si>
    <t>74;94</t>
  </si>
  <si>
    <t>48:27</t>
  </si>
  <si>
    <t>48:29</t>
  </si>
  <si>
    <t>74;92 68;83</t>
  </si>
  <si>
    <t>50:47</t>
  </si>
  <si>
    <t>50:49</t>
  </si>
  <si>
    <t>50:51</t>
  </si>
  <si>
    <t>59;92 68;85</t>
  </si>
  <si>
    <t>51:00</t>
  </si>
  <si>
    <t>51:04</t>
  </si>
  <si>
    <t>51:06</t>
  </si>
  <si>
    <t>43;80</t>
  </si>
  <si>
    <t>51:26</t>
  </si>
  <si>
    <t>51:29</t>
  </si>
  <si>
    <t>51:32</t>
  </si>
  <si>
    <t>68;75</t>
  </si>
  <si>
    <t>51:25</t>
  </si>
  <si>
    <t>51:30</t>
  </si>
  <si>
    <t>51:36</t>
  </si>
  <si>
    <t>70;70</t>
  </si>
  <si>
    <t>51:33</t>
  </si>
  <si>
    <t>51:35</t>
  </si>
  <si>
    <t>72;65</t>
  </si>
  <si>
    <t>52:57</t>
  </si>
  <si>
    <t>53:00</t>
  </si>
  <si>
    <t>53:03</t>
  </si>
  <si>
    <t>66;90</t>
  </si>
  <si>
    <t>54:11</t>
  </si>
  <si>
    <t>54:14</t>
  </si>
  <si>
    <t>36;61 67;57</t>
  </si>
  <si>
    <t>54:16</t>
  </si>
  <si>
    <t>54:19</t>
  </si>
  <si>
    <t>54:21</t>
  </si>
  <si>
    <t>53;87</t>
  </si>
  <si>
    <t>54:24</t>
  </si>
  <si>
    <t>54:27</t>
  </si>
  <si>
    <t>61;83</t>
  </si>
  <si>
    <t>54:23</t>
  </si>
  <si>
    <t>54:25</t>
  </si>
  <si>
    <t>58;78 59;82 56;68</t>
  </si>
  <si>
    <t>56:13</t>
  </si>
  <si>
    <t>56:16</t>
  </si>
  <si>
    <t>56:19</t>
  </si>
  <si>
    <t>54;45</t>
  </si>
  <si>
    <t>60:38</t>
  </si>
  <si>
    <t>60:43</t>
  </si>
  <si>
    <t>60:48</t>
  </si>
  <si>
    <t>77;94 86;56</t>
  </si>
  <si>
    <t>61:49</t>
  </si>
  <si>
    <t>61:54</t>
  </si>
  <si>
    <t>61:57</t>
  </si>
  <si>
    <t>53;56</t>
  </si>
  <si>
    <t>61:59</t>
  </si>
  <si>
    <t>62:01</t>
  </si>
  <si>
    <t>45;54 58;42</t>
  </si>
  <si>
    <t>63:08</t>
  </si>
  <si>
    <t>63:11</t>
  </si>
  <si>
    <t>63:14</t>
  </si>
  <si>
    <t>65:43</t>
  </si>
  <si>
    <t>65:48</t>
  </si>
  <si>
    <t>65:51</t>
  </si>
  <si>
    <t>14;93</t>
  </si>
  <si>
    <t>66:00</t>
  </si>
  <si>
    <t>66:04</t>
  </si>
  <si>
    <t>66:06</t>
  </si>
  <si>
    <t>22;94</t>
  </si>
  <si>
    <t>66:13</t>
  </si>
  <si>
    <t>66:16</t>
  </si>
  <si>
    <t>66:18</t>
  </si>
  <si>
    <t>66:19</t>
  </si>
  <si>
    <t>66:21</t>
  </si>
  <si>
    <t>66:24</t>
  </si>
  <si>
    <t>67:03</t>
  </si>
  <si>
    <t>67:07</t>
  </si>
  <si>
    <t>67:11</t>
  </si>
  <si>
    <t>67;89</t>
  </si>
  <si>
    <t>70:08</t>
  </si>
  <si>
    <t>70:12</t>
  </si>
  <si>
    <t>47;60</t>
  </si>
  <si>
    <t>70:09</t>
  </si>
  <si>
    <t>44;52 50;24</t>
  </si>
  <si>
    <t>https://www.youtube.com/watch?v=ZcG_GWbCU0U</t>
  </si>
  <si>
    <t>final</t>
  </si>
  <si>
    <t>MANCHEGO TALENTS</t>
  </si>
  <si>
    <t>(18) Danilo</t>
  </si>
  <si>
    <t>01:51</t>
  </si>
  <si>
    <t>01:53</t>
  </si>
  <si>
    <t>01:55</t>
  </si>
  <si>
    <t>85;72 73;90</t>
  </si>
  <si>
    <t>(12) Arquero</t>
  </si>
  <si>
    <t>Lateral</t>
  </si>
  <si>
    <t>02:33</t>
  </si>
  <si>
    <t>02:40</t>
  </si>
  <si>
    <t>46;1 41;6</t>
  </si>
  <si>
    <t>Atajada</t>
  </si>
  <si>
    <t>04:05</t>
  </si>
  <si>
    <t>04:09</t>
  </si>
  <si>
    <t>04:11</t>
  </si>
  <si>
    <t>95;62</t>
  </si>
  <si>
    <t>06:49</t>
  </si>
  <si>
    <t>91;56 67;18</t>
  </si>
  <si>
    <t>08:24</t>
  </si>
  <si>
    <t>08:26</t>
  </si>
  <si>
    <t>08:37</t>
  </si>
  <si>
    <t>86;62 40;71</t>
  </si>
  <si>
    <t>08:52</t>
  </si>
  <si>
    <t>08:58</t>
  </si>
  <si>
    <t>96;61</t>
  </si>
  <si>
    <t>09:02</t>
  </si>
  <si>
    <t>09:04</t>
  </si>
  <si>
    <t>86;47 51;52</t>
  </si>
  <si>
    <t>14:27</t>
  </si>
  <si>
    <t>14:29</t>
  </si>
  <si>
    <t>95;60 90;69</t>
  </si>
  <si>
    <t>16:35</t>
  </si>
  <si>
    <t>16:37</t>
  </si>
  <si>
    <t>16:42</t>
  </si>
  <si>
    <t>94;59 55;74</t>
  </si>
  <si>
    <t>21:55</t>
  </si>
  <si>
    <t>21:57</t>
  </si>
  <si>
    <t>22:01</t>
  </si>
  <si>
    <t>94;57 60;48</t>
  </si>
  <si>
    <t>23:14</t>
  </si>
  <si>
    <t>23:16</t>
  </si>
  <si>
    <t>23:19</t>
  </si>
  <si>
    <t>82;69 58;100</t>
  </si>
  <si>
    <t>26:26</t>
  </si>
  <si>
    <t>26:28</t>
  </si>
  <si>
    <t>93;68</t>
  </si>
  <si>
    <t>26:27</t>
  </si>
  <si>
    <t>26:29</t>
  </si>
  <si>
    <t>26:32</t>
  </si>
  <si>
    <t>86;61 45;63</t>
  </si>
  <si>
    <t>29:23</t>
  </si>
  <si>
    <t>29:25</t>
  </si>
  <si>
    <t>29:30</t>
  </si>
  <si>
    <t>95;60 47;67</t>
  </si>
  <si>
    <t>32:57</t>
  </si>
  <si>
    <t>25;1 14;6</t>
  </si>
  <si>
    <t>33:06</t>
  </si>
  <si>
    <t>33:11</t>
  </si>
  <si>
    <t>33:14</t>
  </si>
  <si>
    <t>18;1 6;6</t>
  </si>
  <si>
    <t>Falta</t>
  </si>
  <si>
    <t>45:01</t>
  </si>
  <si>
    <t>45:05</t>
  </si>
  <si>
    <t>45:07</t>
  </si>
  <si>
    <t>5;56</t>
  </si>
  <si>
    <t>45:08</t>
  </si>
  <si>
    <t>45:10</t>
  </si>
  <si>
    <t>45:14</t>
  </si>
  <si>
    <t>11;61 47;53</t>
  </si>
  <si>
    <t>47:42</t>
  </si>
  <si>
    <t>47:46</t>
  </si>
  <si>
    <t>47:48</t>
  </si>
  <si>
    <t>5;63</t>
  </si>
  <si>
    <t>47:50</t>
  </si>
  <si>
    <t>47:52</t>
  </si>
  <si>
    <t>47:54</t>
  </si>
  <si>
    <t>11;66 39;58</t>
  </si>
  <si>
    <t>52:13</t>
  </si>
  <si>
    <t>52:18</t>
  </si>
  <si>
    <t>68;99 75;94</t>
  </si>
  <si>
    <t>53:23</t>
  </si>
  <si>
    <t>53:27</t>
  </si>
  <si>
    <t>53:29</t>
  </si>
  <si>
    <t>5;45</t>
  </si>
  <si>
    <t>53:31</t>
  </si>
  <si>
    <t>53:35</t>
  </si>
  <si>
    <t>13;54 67;48</t>
  </si>
  <si>
    <t>62:49</t>
  </si>
  <si>
    <t>62:53</t>
  </si>
  <si>
    <t>62:55</t>
  </si>
  <si>
    <t>3;39</t>
  </si>
  <si>
    <t>63:51</t>
  </si>
  <si>
    <t>63:55</t>
  </si>
  <si>
    <t>63:57</t>
  </si>
  <si>
    <t>64:02</t>
  </si>
  <si>
    <t>64:04</t>
  </si>
  <si>
    <t>64:06</t>
  </si>
  <si>
    <t>13;45 52;36</t>
  </si>
  <si>
    <t>Acc. defensiva</t>
  </si>
  <si>
    <t>66:26</t>
  </si>
  <si>
    <t>66:30</t>
  </si>
  <si>
    <t>66:34</t>
  </si>
  <si>
    <t>5;57</t>
  </si>
  <si>
    <t>68:42</t>
  </si>
  <si>
    <t>68:47</t>
  </si>
  <si>
    <t>68:50</t>
  </si>
  <si>
    <t>54;99 65;96</t>
  </si>
  <si>
    <t>68:53</t>
  </si>
  <si>
    <t>68:58</t>
  </si>
  <si>
    <t>69:02</t>
  </si>
  <si>
    <t>72;99 78;89</t>
  </si>
  <si>
    <t>70:39</t>
  </si>
  <si>
    <t>70:44</t>
  </si>
  <si>
    <t>70:47</t>
  </si>
  <si>
    <t>33;99 54;96</t>
  </si>
  <si>
    <t>70:53</t>
  </si>
  <si>
    <t>70:58</t>
  </si>
  <si>
    <t>71:04</t>
  </si>
  <si>
    <t>60;99 68;86</t>
  </si>
  <si>
    <t>04:38</t>
  </si>
  <si>
    <t>04:41</t>
  </si>
  <si>
    <t>04:43</t>
  </si>
  <si>
    <t>58;86 47;91</t>
  </si>
  <si>
    <t>05:05</t>
  </si>
  <si>
    <t>05:08</t>
  </si>
  <si>
    <t>05:11</t>
  </si>
  <si>
    <t>47;91</t>
  </si>
  <si>
    <t>05:48</t>
  </si>
  <si>
    <t>05:50</t>
  </si>
  <si>
    <t>05:54</t>
  </si>
  <si>
    <t>68;96 42;93</t>
  </si>
  <si>
    <t>07:35</t>
  </si>
  <si>
    <t>07:38</t>
  </si>
  <si>
    <t>07:41</t>
  </si>
  <si>
    <t>57;75 33;60</t>
  </si>
  <si>
    <t>07:48</t>
  </si>
  <si>
    <t>07:50</t>
  </si>
  <si>
    <t>07:52</t>
  </si>
  <si>
    <t>55;67</t>
  </si>
  <si>
    <t>08:53</t>
  </si>
  <si>
    <t>08:57</t>
  </si>
  <si>
    <t>32;92 14;91</t>
  </si>
  <si>
    <t>09:00</t>
  </si>
  <si>
    <t>12;91 2;61</t>
  </si>
  <si>
    <t>Duelo balón suelto</t>
  </si>
  <si>
    <t>11:19</t>
  </si>
  <si>
    <t>11:22</t>
  </si>
  <si>
    <t>11:25</t>
  </si>
  <si>
    <t>76;89</t>
  </si>
  <si>
    <t>11:23</t>
  </si>
  <si>
    <t>11:27</t>
  </si>
  <si>
    <t>82;90</t>
  </si>
  <si>
    <t>95;90</t>
  </si>
  <si>
    <t>12:05</t>
  </si>
  <si>
    <t>12:08</t>
  </si>
  <si>
    <t>12:11</t>
  </si>
  <si>
    <t>83;79</t>
  </si>
  <si>
    <t>15:36</t>
  </si>
  <si>
    <t>15:39</t>
  </si>
  <si>
    <t>15:41</t>
  </si>
  <si>
    <t>28;90 22;77</t>
  </si>
  <si>
    <t>15:37</t>
  </si>
  <si>
    <t>15:43</t>
  </si>
  <si>
    <t>15:50</t>
  </si>
  <si>
    <t>19;86 5;47</t>
  </si>
  <si>
    <t>15:40</t>
  </si>
  <si>
    <t>15:46</t>
  </si>
  <si>
    <t>24;89</t>
  </si>
  <si>
    <t>16:04</t>
  </si>
  <si>
    <t>16:06</t>
  </si>
  <si>
    <t>16:08</t>
  </si>
  <si>
    <t>46;92 39;89</t>
  </si>
  <si>
    <t>19:59</t>
  </si>
  <si>
    <t>20:04</t>
  </si>
  <si>
    <t>20:07</t>
  </si>
  <si>
    <t>84;89</t>
  </si>
  <si>
    <t>25:18</t>
  </si>
  <si>
    <t>25:20</t>
  </si>
  <si>
    <t>25:22</t>
  </si>
  <si>
    <t>77;90 47;82</t>
  </si>
  <si>
    <t>25:23</t>
  </si>
  <si>
    <t>25:25</t>
  </si>
  <si>
    <t>25:27</t>
  </si>
  <si>
    <t>76;86 70;80</t>
  </si>
  <si>
    <t>27:39</t>
  </si>
  <si>
    <t>27:44</t>
  </si>
  <si>
    <t>27:47</t>
  </si>
  <si>
    <t>85;83</t>
  </si>
  <si>
    <t>27:40</t>
  </si>
  <si>
    <t>27:50</t>
  </si>
  <si>
    <t>28:00</t>
  </si>
  <si>
    <t>95;92</t>
  </si>
  <si>
    <t>28:40</t>
  </si>
  <si>
    <t>28:42</t>
  </si>
  <si>
    <t>28:44</t>
  </si>
  <si>
    <t>88;91 62;83</t>
  </si>
  <si>
    <t>28:46</t>
  </si>
  <si>
    <t>28:52</t>
  </si>
  <si>
    <t>84;87</t>
  </si>
  <si>
    <t>36:04</t>
  </si>
  <si>
    <t>36:07</t>
  </si>
  <si>
    <t>36:10</t>
  </si>
  <si>
    <t>81;73</t>
  </si>
  <si>
    <t>42:35</t>
  </si>
  <si>
    <t>42:40</t>
  </si>
  <si>
    <t>42:42</t>
  </si>
  <si>
    <t>40;14</t>
  </si>
  <si>
    <t>42:43</t>
  </si>
  <si>
    <t>42:45</t>
  </si>
  <si>
    <t>42:46</t>
  </si>
  <si>
    <t>64;10 71;16</t>
  </si>
  <si>
    <t>42:37</t>
  </si>
  <si>
    <t>42:53</t>
  </si>
  <si>
    <t>46;10 63;10</t>
  </si>
  <si>
    <t>42:48</t>
  </si>
  <si>
    <t>42:50</t>
  </si>
  <si>
    <t>69;6 82;26</t>
  </si>
  <si>
    <t>45:51</t>
  </si>
  <si>
    <t>45:57</t>
  </si>
  <si>
    <t>40;13 68;6</t>
  </si>
  <si>
    <t>45:53</t>
  </si>
  <si>
    <t>45:55</t>
  </si>
  <si>
    <t>70;6 77;7</t>
  </si>
  <si>
    <t>46:39</t>
  </si>
  <si>
    <t>46:43</t>
  </si>
  <si>
    <t>46:45</t>
  </si>
  <si>
    <t>59;26</t>
  </si>
  <si>
    <t>47:03</t>
  </si>
  <si>
    <t>47:06</t>
  </si>
  <si>
    <t>47:09</t>
  </si>
  <si>
    <t>34;6</t>
  </si>
  <si>
    <t>49:29</t>
  </si>
  <si>
    <t>49:35</t>
  </si>
  <si>
    <t>49:40</t>
  </si>
  <si>
    <t>46;10 65;8</t>
  </si>
  <si>
    <t>57:31</t>
  </si>
  <si>
    <t>57:36</t>
  </si>
  <si>
    <t>57:39</t>
  </si>
  <si>
    <t>59:15</t>
  </si>
  <si>
    <t>18;30</t>
  </si>
  <si>
    <t>59:20</t>
  </si>
  <si>
    <t>20;23 34;11</t>
  </si>
  <si>
    <t>64:45</t>
  </si>
  <si>
    <t>64:52</t>
  </si>
  <si>
    <t>64:58</t>
  </si>
  <si>
    <t>39;28 64;34</t>
  </si>
  <si>
    <t>64:48</t>
  </si>
  <si>
    <t>64:53</t>
  </si>
  <si>
    <t>64:55</t>
  </si>
  <si>
    <t>66;34</t>
  </si>
  <si>
    <t>67:14</t>
  </si>
  <si>
    <t>67:16</t>
  </si>
  <si>
    <t>67:18</t>
  </si>
  <si>
    <t>57;20 67;8</t>
  </si>
  <si>
    <t>69:09</t>
  </si>
  <si>
    <t>69:12</t>
  </si>
  <si>
    <t>69:15</t>
  </si>
  <si>
    <t>28;11</t>
  </si>
  <si>
    <t>69:14</t>
  </si>
  <si>
    <t>69:17</t>
  </si>
  <si>
    <t>27;3</t>
  </si>
  <si>
    <t>69:21</t>
  </si>
  <si>
    <t>69:25</t>
  </si>
  <si>
    <t>30;5 31;5</t>
  </si>
  <si>
    <t>Centro</t>
  </si>
  <si>
    <t>Interregional</t>
  </si>
  <si>
    <t>https://www.youtube.com/watch?v=oWSnLjv2v9k</t>
  </si>
  <si>
    <t>04:02</t>
  </si>
  <si>
    <t>04:04</t>
  </si>
  <si>
    <t>04:06</t>
  </si>
  <si>
    <t>46;40 37;1</t>
  </si>
  <si>
    <t>04:46</t>
  </si>
  <si>
    <t>04:51</t>
  </si>
  <si>
    <t>04:56</t>
  </si>
  <si>
    <t>38;99</t>
  </si>
  <si>
    <t>06:00</t>
  </si>
  <si>
    <t>06:05</t>
  </si>
  <si>
    <t>06:07</t>
  </si>
  <si>
    <t>53;99</t>
  </si>
  <si>
    <t>06:28</t>
  </si>
  <si>
    <t>06:31</t>
  </si>
  <si>
    <t>06:33</t>
  </si>
  <si>
    <t>59;12</t>
  </si>
  <si>
    <t>07:42</t>
  </si>
  <si>
    <t>07:46</t>
  </si>
  <si>
    <t>59;56</t>
  </si>
  <si>
    <t>35;39</t>
  </si>
  <si>
    <t>10:17</t>
  </si>
  <si>
    <t>10:24</t>
  </si>
  <si>
    <t>10:34</t>
  </si>
  <si>
    <t>31;34</t>
  </si>
  <si>
    <t>11:02</t>
  </si>
  <si>
    <t>11:04</t>
  </si>
  <si>
    <t>11:06</t>
  </si>
  <si>
    <t>47;34 34;5</t>
  </si>
  <si>
    <t>13:13</t>
  </si>
  <si>
    <t>13:18</t>
  </si>
  <si>
    <t>13:21</t>
  </si>
  <si>
    <t>7;99</t>
  </si>
  <si>
    <t>15:58</t>
  </si>
  <si>
    <t>16:03</t>
  </si>
  <si>
    <t>19:40</t>
  </si>
  <si>
    <t>19:43</t>
  </si>
  <si>
    <t>76;18</t>
  </si>
  <si>
    <t>19:39</t>
  </si>
  <si>
    <t>19:41</t>
  </si>
  <si>
    <t>74;14 55;11</t>
  </si>
  <si>
    <t>Otras pérdidas</t>
  </si>
  <si>
    <t>23:26</t>
  </si>
  <si>
    <t>23:31</t>
  </si>
  <si>
    <t>23:34</t>
  </si>
  <si>
    <t>96;10</t>
  </si>
  <si>
    <t>23:30</t>
  </si>
  <si>
    <t>23:38</t>
  </si>
  <si>
    <t>96;15</t>
  </si>
  <si>
    <t>23:37</t>
  </si>
  <si>
    <t>23:39</t>
  </si>
  <si>
    <t>23:41</t>
  </si>
  <si>
    <t>91;9 65;7</t>
  </si>
  <si>
    <t>24:01</t>
  </si>
  <si>
    <t>24:06</t>
  </si>
  <si>
    <t>24:09</t>
  </si>
  <si>
    <t>19;99</t>
  </si>
  <si>
    <t>24:38</t>
  </si>
  <si>
    <t>24:42</t>
  </si>
  <si>
    <t>24:44</t>
  </si>
  <si>
    <t>57;46</t>
  </si>
  <si>
    <t>24:49</t>
  </si>
  <si>
    <t>24:51</t>
  </si>
  <si>
    <t>71;28</t>
  </si>
  <si>
    <t>24:47</t>
  </si>
  <si>
    <t>24:53</t>
  </si>
  <si>
    <t>70;24</t>
  </si>
  <si>
    <t>24:52</t>
  </si>
  <si>
    <t>24:55</t>
  </si>
  <si>
    <t>69;22</t>
  </si>
  <si>
    <t>24:54</t>
  </si>
  <si>
    <t>24:59</t>
  </si>
  <si>
    <t>25:02</t>
  </si>
  <si>
    <t>87;12</t>
  </si>
  <si>
    <t>25:52</t>
  </si>
  <si>
    <t>25:55</t>
  </si>
  <si>
    <t>25:58</t>
  </si>
  <si>
    <t>37;45</t>
  </si>
  <si>
    <t>26:00</t>
  </si>
  <si>
    <t>26:03</t>
  </si>
  <si>
    <t>34;36</t>
  </si>
  <si>
    <t>26:02</t>
  </si>
  <si>
    <t>26:04</t>
  </si>
  <si>
    <t>38;39 40;55</t>
  </si>
  <si>
    <t>30:25</t>
  </si>
  <si>
    <t>30:29</t>
  </si>
  <si>
    <t>68;28</t>
  </si>
  <si>
    <t>30:44</t>
  </si>
  <si>
    <t>30:47</t>
  </si>
  <si>
    <t>30:50</t>
  </si>
  <si>
    <t>78;7</t>
  </si>
  <si>
    <t>35:27</t>
  </si>
  <si>
    <t>35:29</t>
  </si>
  <si>
    <t>35:32</t>
  </si>
  <si>
    <t>67;38 44;9</t>
  </si>
  <si>
    <t>39:13</t>
  </si>
  <si>
    <t>39:16</t>
  </si>
  <si>
    <t>39:19</t>
  </si>
  <si>
    <t>47;83</t>
  </si>
  <si>
    <t>41:10</t>
  </si>
  <si>
    <t>41:13</t>
  </si>
  <si>
    <t>41:16</t>
  </si>
  <si>
    <t>38;84</t>
  </si>
  <si>
    <t>42:23</t>
  </si>
  <si>
    <t>42:25</t>
  </si>
  <si>
    <t>42:27</t>
  </si>
  <si>
    <t>28;67 31;83</t>
  </si>
  <si>
    <t>46:38</t>
  </si>
  <si>
    <t>46:41</t>
  </si>
  <si>
    <t>46:44</t>
  </si>
  <si>
    <t>53;34</t>
  </si>
  <si>
    <t>46:49</t>
  </si>
  <si>
    <t>46:51</t>
  </si>
  <si>
    <t>38;30</t>
  </si>
  <si>
    <t>47:30</t>
  </si>
  <si>
    <t>47:35</t>
  </si>
  <si>
    <t>47:38</t>
  </si>
  <si>
    <t>61;89</t>
  </si>
  <si>
    <t>47:39</t>
  </si>
  <si>
    <t>47:45</t>
  </si>
  <si>
    <t>37;90</t>
  </si>
  <si>
    <t>47:47</t>
  </si>
  <si>
    <t>47:49</t>
  </si>
  <si>
    <t>60;94 62;95</t>
  </si>
  <si>
    <t>48:55</t>
  </si>
  <si>
    <t>48:59</t>
  </si>
  <si>
    <t>49:01</t>
  </si>
  <si>
    <t>23;86</t>
  </si>
  <si>
    <t>48:57</t>
  </si>
  <si>
    <t>49:03</t>
  </si>
  <si>
    <t>17;92</t>
  </si>
  <si>
    <t>49:10</t>
  </si>
  <si>
    <t>49:13</t>
  </si>
  <si>
    <t>49:16</t>
  </si>
  <si>
    <t>6;91</t>
  </si>
  <si>
    <t>50:19</t>
  </si>
  <si>
    <t>50:24</t>
  </si>
  <si>
    <t>50:27</t>
  </si>
  <si>
    <t>18;90</t>
  </si>
  <si>
    <t>50:25</t>
  </si>
  <si>
    <t>50:28</t>
  </si>
  <si>
    <t>50:31</t>
  </si>
  <si>
    <t>9;92</t>
  </si>
  <si>
    <t>54:13</t>
  </si>
  <si>
    <t>54:15</t>
  </si>
  <si>
    <t>54:17</t>
  </si>
  <si>
    <t>26;79 67;75</t>
  </si>
  <si>
    <t>56:01</t>
  </si>
  <si>
    <t>56:03</t>
  </si>
  <si>
    <t>56:06</t>
  </si>
  <si>
    <t>48;89 71;68</t>
  </si>
  <si>
    <t>56:23</t>
  </si>
  <si>
    <t>56:28</t>
  </si>
  <si>
    <t>56:31</t>
  </si>
  <si>
    <t>53;89</t>
  </si>
  <si>
    <t>57:37</t>
  </si>
  <si>
    <t>57:42</t>
  </si>
  <si>
    <t>57:45</t>
  </si>
  <si>
    <t>38;1</t>
  </si>
  <si>
    <t>59:43</t>
  </si>
  <si>
    <t>59:47</t>
  </si>
  <si>
    <t>59:49</t>
  </si>
  <si>
    <t>20;68</t>
  </si>
  <si>
    <t>60:08</t>
  </si>
  <si>
    <t>60:13</t>
  </si>
  <si>
    <t>9;92 38;99</t>
  </si>
  <si>
    <t>63:17</t>
  </si>
  <si>
    <t>63:20</t>
  </si>
  <si>
    <t>63:23</t>
  </si>
  <si>
    <t>4;88</t>
  </si>
  <si>
    <t>63:26</t>
  </si>
  <si>
    <t>63:29</t>
  </si>
  <si>
    <t>3;92</t>
  </si>
  <si>
    <t>65:55</t>
  </si>
  <si>
    <t>65:58</t>
  </si>
  <si>
    <t>8;55</t>
  </si>
  <si>
    <t>69:37</t>
  </si>
  <si>
    <t>69:42</t>
  </si>
  <si>
    <t>69:45</t>
  </si>
  <si>
    <t>33;2</t>
  </si>
  <si>
    <t>70:51</t>
  </si>
  <si>
    <t>70:54</t>
  </si>
  <si>
    <t>70:57</t>
  </si>
  <si>
    <t>5;73</t>
  </si>
  <si>
    <t>71:37</t>
  </si>
  <si>
    <t>71:41</t>
  </si>
  <si>
    <t>14;72</t>
  </si>
  <si>
    <t>(3) 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</si>
</sst>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1"/>
    <xf numFmtId="0" fontId="0" fillId="2" borderId="0" xfId="0" applyFill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S263" totalsRowShown="0">
  <autoFilter ref="A1:S263" xr:uid="{00000000-0009-0000-0100-000001000000}"/>
  <sortState xmlns:xlrd2="http://schemas.microsoft.com/office/spreadsheetml/2017/richdata2" ref="A2:S2">
    <sortCondition ref="H1:H775"/>
  </sortState>
  <tableColumns count="19">
    <tableColumn id="1" xr3:uid="{00000000-0010-0000-0000-000001000000}" name="Match" dataDxfId="3">
      <calculatedColumnFormula>CONCATENATE(Tabla2[[#This Row],[name_club1]]," vs ",Tabla2[[#This Row],[match_filter]])</calculatedColumnFormula>
    </tableColumn>
    <tableColumn id="19" xr3:uid="{00000000-0010-0000-0000-000013000000}" name="etapa"/>
    <tableColumn id="12" xr3:uid="{00000000-0010-0000-0000-00000C000000}" name="name_club1"/>
    <tableColumn id="11" xr3:uid="{00000000-0010-0000-0000-00000B000000}" name="name_club2"/>
    <tableColumn id="17" xr3:uid="{00000000-0010-0000-0000-000011000000}" name="npartido" dataDxfId="2"/>
    <tableColumn id="18" xr3:uid="{00000000-0010-0000-0000-000012000000}" name="match_filter" dataDxfId="1">
      <calculatedColumnFormula>CONCATENATE(Tabla2[[#This Row],[name_club2]],"_",Tabla2[[#This Row],[npartido]])</calculatedColumnFormula>
    </tableColumn>
    <tableColumn id="10" xr3:uid="{00000000-0010-0000-0000-00000A000000}" name="video" dataDxfId="0"/>
    <tableColumn id="9" xr3:uid="{00000000-0010-0000-0000-000009000000}" name="Event"/>
    <tableColumn id="2" xr3:uid="{00000000-0010-0000-0000-000002000000}" name="start_time"/>
    <tableColumn id="3" xr3:uid="{00000000-0010-0000-0000-000003000000}" name="time"/>
    <tableColumn id="4" xr3:uid="{00000000-0010-0000-0000-000004000000}" name="end_time"/>
    <tableColumn id="5" xr3:uid="{00000000-0010-0000-0000-000005000000}" name="XY"/>
    <tableColumn id="6" xr3:uid="{00000000-0010-0000-0000-000006000000}" name="output"/>
    <tableColumn id="7" xr3:uid="{00000000-0010-0000-0000-000007000000}" name="type"/>
    <tableColumn id="8" xr3:uid="{00000000-0010-0000-0000-000008000000}" name="subtype"/>
    <tableColumn id="15" xr3:uid="{00000000-0010-0000-0000-00000F000000}" name="player"/>
    <tableColumn id="14" xr3:uid="{00000000-0010-0000-0000-00000E000000}" name="player2"/>
    <tableColumn id="16" xr3:uid="{00000000-0010-0000-0000-000010000000}" name="tiempo"/>
    <tableColumn id="13" xr3:uid="{00000000-0010-0000-0000-00000D000000}" name="invertid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youtube.com/watch?v=ZcG_GWbCU0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ZcG_GWbCU0U" TargetMode="External"/><Relationship Id="rId1" Type="http://schemas.openxmlformats.org/officeDocument/2006/relationships/hyperlink" Target="https://www.youtube.com/watch?v=ZcG_GWbCU0U" TargetMode="External"/><Relationship Id="rId6" Type="http://schemas.openxmlformats.org/officeDocument/2006/relationships/hyperlink" Target="https://www.youtube.com/watch?v=oWSnLjv2v9k" TargetMode="External"/><Relationship Id="rId5" Type="http://schemas.openxmlformats.org/officeDocument/2006/relationships/hyperlink" Target="https://www.youtube.com/watch?v=oWSnLjv2v9k" TargetMode="External"/><Relationship Id="rId4" Type="http://schemas.openxmlformats.org/officeDocument/2006/relationships/hyperlink" Target="https://www.youtube.com/watch?v=oWSnLjv2v9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"/>
  <sheetViews>
    <sheetView tabSelected="1" topLeftCell="G153" workbookViewId="0">
      <selection activeCell="B212" sqref="B212:E263"/>
    </sheetView>
  </sheetViews>
  <sheetFormatPr baseColWidth="10" defaultColWidth="9.140625" defaultRowHeight="15" x14ac:dyDescent="0.25"/>
  <cols>
    <col min="1" max="1" width="22.7109375" customWidth="1"/>
    <col min="2" max="2" width="14" customWidth="1"/>
    <col min="3" max="3" width="14" bestFit="1" customWidth="1"/>
    <col min="4" max="4" width="10.85546875" customWidth="1"/>
    <col min="6" max="6" width="19" bestFit="1" customWidth="1"/>
    <col min="7" max="7" width="49.5703125" customWidth="1"/>
    <col min="8" max="8" width="15.5703125" customWidth="1"/>
    <col min="12" max="12" width="15.85546875" customWidth="1"/>
    <col min="16" max="16" width="14" bestFit="1" customWidth="1"/>
    <col min="17" max="17" width="18" bestFit="1" customWidth="1"/>
  </cols>
  <sheetData>
    <row r="1" spans="1:19" x14ac:dyDescent="0.25">
      <c r="A1" t="s">
        <v>0</v>
      </c>
      <c r="B1" t="s">
        <v>46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44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t="str">
        <f>CONCATENATE(Tabla2[[#This Row],[name_club1]]," vs ",Tabla2[[#This Row],[match_filter]])</f>
        <v>ACARSUR vs FBC AURORA_3</v>
      </c>
      <c r="B2" t="s">
        <v>189</v>
      </c>
      <c r="C2" t="s">
        <v>92</v>
      </c>
      <c r="D2" t="s">
        <v>93</v>
      </c>
      <c r="E2" s="1">
        <v>3</v>
      </c>
      <c r="F2" t="str">
        <f>CONCATENATE(Tabla2[[#This Row],[name_club2]],"_",Tabla2[[#This Row],[npartido]])</f>
        <v>FBC AURORA_3</v>
      </c>
      <c r="G2" s="2" t="s">
        <v>91</v>
      </c>
      <c r="H2" t="s">
        <v>26</v>
      </c>
      <c r="I2" t="s">
        <v>94</v>
      </c>
      <c r="J2" t="s">
        <v>95</v>
      </c>
      <c r="K2" t="s">
        <v>96</v>
      </c>
      <c r="L2" t="s">
        <v>97</v>
      </c>
      <c r="M2" t="s">
        <v>188</v>
      </c>
      <c r="P2" t="s">
        <v>187</v>
      </c>
      <c r="R2" t="s">
        <v>19</v>
      </c>
      <c r="S2" t="s">
        <v>90</v>
      </c>
    </row>
    <row r="3" spans="1:19" x14ac:dyDescent="0.25">
      <c r="A3" t="str">
        <f>CONCATENATE(Tabla2[[#This Row],[name_club1]]," vs ",Tabla2[[#This Row],[match_filter]])</f>
        <v>ACARSUR vs FBC AURORA_3</v>
      </c>
      <c r="B3" t="s">
        <v>189</v>
      </c>
      <c r="C3" t="s">
        <v>92</v>
      </c>
      <c r="D3" t="s">
        <v>93</v>
      </c>
      <c r="E3" s="1">
        <v>3</v>
      </c>
      <c r="F3" t="str">
        <f>CONCATENATE(Tabla2[[#This Row],[name_club2]],"_",Tabla2[[#This Row],[npartido]])</f>
        <v>FBC AURORA_3</v>
      </c>
      <c r="G3" s="2" t="s">
        <v>91</v>
      </c>
      <c r="H3" t="s">
        <v>17</v>
      </c>
      <c r="I3" t="s">
        <v>47</v>
      </c>
      <c r="J3" t="s">
        <v>40</v>
      </c>
      <c r="K3" t="s">
        <v>36</v>
      </c>
      <c r="L3" t="s">
        <v>98</v>
      </c>
      <c r="M3" t="s">
        <v>23</v>
      </c>
      <c r="P3" t="s">
        <v>187</v>
      </c>
      <c r="R3" t="s">
        <v>19</v>
      </c>
      <c r="S3" t="s">
        <v>90</v>
      </c>
    </row>
    <row r="4" spans="1:19" x14ac:dyDescent="0.25">
      <c r="A4" t="str">
        <f>CONCATENATE(Tabla2[[#This Row],[name_club1]]," vs ",Tabla2[[#This Row],[match_filter]])</f>
        <v>ACARSUR vs FBC AURORA_3</v>
      </c>
      <c r="B4" t="s">
        <v>189</v>
      </c>
      <c r="C4" t="s">
        <v>92</v>
      </c>
      <c r="D4" t="s">
        <v>93</v>
      </c>
      <c r="E4" s="1">
        <v>3</v>
      </c>
      <c r="F4" t="str">
        <f>CONCATENATE(Tabla2[[#This Row],[name_club2]],"_",Tabla2[[#This Row],[npartido]])</f>
        <v>FBC AURORA_3</v>
      </c>
      <c r="G4" s="2" t="s">
        <v>91</v>
      </c>
      <c r="H4" t="s">
        <v>24</v>
      </c>
      <c r="I4" t="s">
        <v>99</v>
      </c>
      <c r="J4" t="s">
        <v>42</v>
      </c>
      <c r="K4" t="s">
        <v>37</v>
      </c>
      <c r="L4" t="s">
        <v>100</v>
      </c>
      <c r="M4" t="s">
        <v>18</v>
      </c>
      <c r="P4" t="s">
        <v>187</v>
      </c>
      <c r="R4" t="s">
        <v>19</v>
      </c>
      <c r="S4" t="s">
        <v>90</v>
      </c>
    </row>
    <row r="5" spans="1:19" x14ac:dyDescent="0.25">
      <c r="A5" t="str">
        <f>CONCATENATE(Tabla2[[#This Row],[name_club1]]," vs ",Tabla2[[#This Row],[match_filter]])</f>
        <v>ACARSUR vs FBC AURORA_3</v>
      </c>
      <c r="B5" t="s">
        <v>189</v>
      </c>
      <c r="C5" t="s">
        <v>92</v>
      </c>
      <c r="D5" t="s">
        <v>93</v>
      </c>
      <c r="E5" s="1">
        <v>3</v>
      </c>
      <c r="F5" t="str">
        <f>CONCATENATE(Tabla2[[#This Row],[name_club2]],"_",Tabla2[[#This Row],[npartido]])</f>
        <v>FBC AURORA_3</v>
      </c>
      <c r="G5" s="2" t="s">
        <v>91</v>
      </c>
      <c r="H5" t="s">
        <v>29</v>
      </c>
      <c r="I5" t="s">
        <v>101</v>
      </c>
      <c r="J5" t="s">
        <v>49</v>
      </c>
      <c r="K5" t="s">
        <v>30</v>
      </c>
      <c r="L5" t="s">
        <v>102</v>
      </c>
      <c r="M5" t="s">
        <v>23</v>
      </c>
      <c r="P5" t="s">
        <v>187</v>
      </c>
      <c r="R5" t="s">
        <v>19</v>
      </c>
      <c r="S5" t="s">
        <v>90</v>
      </c>
    </row>
    <row r="6" spans="1:19" x14ac:dyDescent="0.25">
      <c r="A6" t="str">
        <f>CONCATENATE(Tabla2[[#This Row],[name_club1]]," vs ",Tabla2[[#This Row],[match_filter]])</f>
        <v>ACARSUR vs FBC AURORA_3</v>
      </c>
      <c r="B6" t="s">
        <v>189</v>
      </c>
      <c r="C6" t="s">
        <v>92</v>
      </c>
      <c r="D6" t="s">
        <v>93</v>
      </c>
      <c r="E6" s="1">
        <v>3</v>
      </c>
      <c r="F6" t="str">
        <f>CONCATENATE(Tabla2[[#This Row],[name_club2]],"_",Tabla2[[#This Row],[npartido]])</f>
        <v>FBC AURORA_3</v>
      </c>
      <c r="G6" s="2" t="s">
        <v>91</v>
      </c>
      <c r="H6" t="s">
        <v>26</v>
      </c>
      <c r="I6" t="s">
        <v>48</v>
      </c>
      <c r="J6" t="s">
        <v>103</v>
      </c>
      <c r="K6" t="s">
        <v>104</v>
      </c>
      <c r="L6" t="s">
        <v>105</v>
      </c>
      <c r="P6" t="s">
        <v>187</v>
      </c>
      <c r="R6" t="s">
        <v>19</v>
      </c>
      <c r="S6" t="s">
        <v>90</v>
      </c>
    </row>
    <row r="7" spans="1:19" x14ac:dyDescent="0.25">
      <c r="A7" t="str">
        <f>CONCATENATE(Tabla2[[#This Row],[name_club1]]," vs ",Tabla2[[#This Row],[match_filter]])</f>
        <v>ACARSUR vs FBC AURORA_3</v>
      </c>
      <c r="B7" t="s">
        <v>189</v>
      </c>
      <c r="C7" t="s">
        <v>92</v>
      </c>
      <c r="D7" t="s">
        <v>93</v>
      </c>
      <c r="E7" s="1">
        <v>3</v>
      </c>
      <c r="F7" t="str">
        <f>CONCATENATE(Tabla2[[#This Row],[name_club2]],"_",Tabla2[[#This Row],[npartido]])</f>
        <v>FBC AURORA_3</v>
      </c>
      <c r="G7" s="2" t="s">
        <v>91</v>
      </c>
      <c r="H7" t="s">
        <v>22</v>
      </c>
      <c r="I7" t="s">
        <v>30</v>
      </c>
      <c r="J7" t="s">
        <v>31</v>
      </c>
      <c r="K7" t="s">
        <v>32</v>
      </c>
      <c r="L7" t="s">
        <v>106</v>
      </c>
      <c r="P7" t="s">
        <v>187</v>
      </c>
      <c r="R7" t="s">
        <v>19</v>
      </c>
      <c r="S7" t="s">
        <v>90</v>
      </c>
    </row>
    <row r="8" spans="1:19" x14ac:dyDescent="0.25">
      <c r="A8" t="str">
        <f>CONCATENATE(Tabla2[[#This Row],[name_club1]]," vs ",Tabla2[[#This Row],[match_filter]])</f>
        <v>ACARSUR vs FBC AURORA_3</v>
      </c>
      <c r="B8" t="s">
        <v>189</v>
      </c>
      <c r="C8" t="s">
        <v>92</v>
      </c>
      <c r="D8" t="s">
        <v>93</v>
      </c>
      <c r="E8" s="1">
        <v>3</v>
      </c>
      <c r="F8" t="str">
        <f>CONCATENATE(Tabla2[[#This Row],[name_club2]],"_",Tabla2[[#This Row],[npartido]])</f>
        <v>FBC AURORA_3</v>
      </c>
      <c r="G8" s="2" t="s">
        <v>91</v>
      </c>
      <c r="H8" t="s">
        <v>24</v>
      </c>
      <c r="I8" t="s">
        <v>50</v>
      </c>
      <c r="J8" t="s">
        <v>51</v>
      </c>
      <c r="K8" t="s">
        <v>107</v>
      </c>
      <c r="L8" t="s">
        <v>108</v>
      </c>
      <c r="M8" t="s">
        <v>18</v>
      </c>
      <c r="N8" t="s">
        <v>45</v>
      </c>
      <c r="P8" t="s">
        <v>187</v>
      </c>
      <c r="R8" t="s">
        <v>19</v>
      </c>
      <c r="S8" t="s">
        <v>90</v>
      </c>
    </row>
    <row r="9" spans="1:19" x14ac:dyDescent="0.25">
      <c r="A9" t="str">
        <f>CONCATENATE(Tabla2[[#This Row],[name_club1]]," vs ",Tabla2[[#This Row],[match_filter]])</f>
        <v>ACARSUR vs FBC AURORA_3</v>
      </c>
      <c r="B9" t="s">
        <v>189</v>
      </c>
      <c r="C9" t="s">
        <v>92</v>
      </c>
      <c r="D9" t="s">
        <v>93</v>
      </c>
      <c r="E9" s="1">
        <v>3</v>
      </c>
      <c r="F9" t="str">
        <f>CONCATENATE(Tabla2[[#This Row],[name_club2]],"_",Tabla2[[#This Row],[npartido]])</f>
        <v>FBC AURORA_3</v>
      </c>
      <c r="G9" s="2" t="s">
        <v>91</v>
      </c>
      <c r="H9" t="s">
        <v>17</v>
      </c>
      <c r="I9" t="s">
        <v>33</v>
      </c>
      <c r="J9" t="s">
        <v>109</v>
      </c>
      <c r="K9" t="s">
        <v>52</v>
      </c>
      <c r="L9" t="s">
        <v>110</v>
      </c>
      <c r="M9" t="s">
        <v>23</v>
      </c>
      <c r="P9" t="s">
        <v>187</v>
      </c>
      <c r="R9" t="s">
        <v>19</v>
      </c>
      <c r="S9" t="s">
        <v>90</v>
      </c>
    </row>
    <row r="10" spans="1:19" x14ac:dyDescent="0.25">
      <c r="A10" t="str">
        <f>CONCATENATE(Tabla2[[#This Row],[name_club1]]," vs ",Tabla2[[#This Row],[match_filter]])</f>
        <v>ACARSUR vs FBC AURORA_3</v>
      </c>
      <c r="B10" t="s">
        <v>189</v>
      </c>
      <c r="C10" t="s">
        <v>92</v>
      </c>
      <c r="D10" t="s">
        <v>93</v>
      </c>
      <c r="E10" s="1">
        <v>3</v>
      </c>
      <c r="F10" t="str">
        <f>CONCATENATE(Tabla2[[#This Row],[name_club2]],"_",Tabla2[[#This Row],[npartido]])</f>
        <v>FBC AURORA_3</v>
      </c>
      <c r="G10" s="2" t="s">
        <v>91</v>
      </c>
      <c r="H10" t="s">
        <v>17</v>
      </c>
      <c r="I10" t="s">
        <v>41</v>
      </c>
      <c r="J10" t="s">
        <v>53</v>
      </c>
      <c r="K10" t="s">
        <v>34</v>
      </c>
      <c r="L10" t="s">
        <v>111</v>
      </c>
      <c r="M10" t="s">
        <v>18</v>
      </c>
      <c r="P10" t="s">
        <v>187</v>
      </c>
      <c r="R10" t="s">
        <v>19</v>
      </c>
      <c r="S10" t="s">
        <v>90</v>
      </c>
    </row>
    <row r="11" spans="1:19" x14ac:dyDescent="0.25">
      <c r="A11" t="str">
        <f>CONCATENATE(Tabla2[[#This Row],[name_club1]]," vs ",Tabla2[[#This Row],[match_filter]])</f>
        <v>ACARSUR vs FBC AURORA_3</v>
      </c>
      <c r="B11" t="s">
        <v>189</v>
      </c>
      <c r="C11" t="s">
        <v>92</v>
      </c>
      <c r="D11" t="s">
        <v>93</v>
      </c>
      <c r="E11" s="1">
        <v>3</v>
      </c>
      <c r="F11" t="str">
        <f>CONCATENATE(Tabla2[[#This Row],[name_club2]],"_",Tabla2[[#This Row],[npartido]])</f>
        <v>FBC AURORA_3</v>
      </c>
      <c r="G11" s="2" t="s">
        <v>91</v>
      </c>
      <c r="H11" t="s">
        <v>43</v>
      </c>
      <c r="I11" t="s">
        <v>112</v>
      </c>
      <c r="J11" t="s">
        <v>113</v>
      </c>
      <c r="K11" t="s">
        <v>114</v>
      </c>
      <c r="L11" t="s">
        <v>115</v>
      </c>
      <c r="M11" t="s">
        <v>18</v>
      </c>
      <c r="P11" t="s">
        <v>187</v>
      </c>
      <c r="R11" t="s">
        <v>19</v>
      </c>
      <c r="S11" t="s">
        <v>90</v>
      </c>
    </row>
    <row r="12" spans="1:19" x14ac:dyDescent="0.25">
      <c r="A12" t="str">
        <f>CONCATENATE(Tabla2[[#This Row],[name_club1]]," vs ",Tabla2[[#This Row],[match_filter]])</f>
        <v>ACARSUR vs FBC AURORA_3</v>
      </c>
      <c r="B12" t="s">
        <v>189</v>
      </c>
      <c r="C12" t="s">
        <v>92</v>
      </c>
      <c r="D12" t="s">
        <v>93</v>
      </c>
      <c r="E12" s="1">
        <v>3</v>
      </c>
      <c r="F12" t="str">
        <f>CONCATENATE(Tabla2[[#This Row],[name_club2]],"_",Tabla2[[#This Row],[npartido]])</f>
        <v>FBC AURORA_3</v>
      </c>
      <c r="G12" s="2" t="s">
        <v>91</v>
      </c>
      <c r="H12" t="s">
        <v>29</v>
      </c>
      <c r="I12" t="s">
        <v>54</v>
      </c>
      <c r="J12" t="s">
        <v>55</v>
      </c>
      <c r="K12" t="s">
        <v>116</v>
      </c>
      <c r="L12" t="s">
        <v>117</v>
      </c>
      <c r="M12" t="s">
        <v>18</v>
      </c>
      <c r="P12" t="s">
        <v>187</v>
      </c>
      <c r="R12" t="s">
        <v>19</v>
      </c>
      <c r="S12" t="s">
        <v>90</v>
      </c>
    </row>
    <row r="13" spans="1:19" x14ac:dyDescent="0.25">
      <c r="A13" t="str">
        <f>CONCATENATE(Tabla2[[#This Row],[name_club1]]," vs ",Tabla2[[#This Row],[match_filter]])</f>
        <v>ACARSUR vs FBC AURORA_3</v>
      </c>
      <c r="B13" t="s">
        <v>189</v>
      </c>
      <c r="C13" t="s">
        <v>92</v>
      </c>
      <c r="D13" t="s">
        <v>93</v>
      </c>
      <c r="E13" s="1">
        <v>3</v>
      </c>
      <c r="F13" t="str">
        <f>CONCATENATE(Tabla2[[#This Row],[name_club2]],"_",Tabla2[[#This Row],[npartido]])</f>
        <v>FBC AURORA_3</v>
      </c>
      <c r="G13" s="2" t="s">
        <v>91</v>
      </c>
      <c r="H13" t="s">
        <v>17</v>
      </c>
      <c r="I13" t="s">
        <v>118</v>
      </c>
      <c r="J13" t="s">
        <v>119</v>
      </c>
      <c r="K13" t="s">
        <v>116</v>
      </c>
      <c r="L13" t="s">
        <v>120</v>
      </c>
      <c r="M13" t="s">
        <v>23</v>
      </c>
      <c r="P13" t="s">
        <v>187</v>
      </c>
      <c r="R13" t="s">
        <v>19</v>
      </c>
      <c r="S13" t="s">
        <v>90</v>
      </c>
    </row>
    <row r="14" spans="1:19" x14ac:dyDescent="0.25">
      <c r="A14" t="str">
        <f>CONCATENATE(Tabla2[[#This Row],[name_club1]]," vs ",Tabla2[[#This Row],[match_filter]])</f>
        <v>ACARSUR vs FBC AURORA_3</v>
      </c>
      <c r="B14" t="s">
        <v>189</v>
      </c>
      <c r="C14" t="s">
        <v>92</v>
      </c>
      <c r="D14" t="s">
        <v>93</v>
      </c>
      <c r="E14" s="1">
        <v>3</v>
      </c>
      <c r="F14" t="str">
        <f>CONCATENATE(Tabla2[[#This Row],[name_club2]],"_",Tabla2[[#This Row],[npartido]])</f>
        <v>FBC AURORA_3</v>
      </c>
      <c r="G14" s="2" t="s">
        <v>91</v>
      </c>
      <c r="H14" t="s">
        <v>29</v>
      </c>
      <c r="I14" t="s">
        <v>35</v>
      </c>
      <c r="J14" t="s">
        <v>121</v>
      </c>
      <c r="K14" t="s">
        <v>56</v>
      </c>
      <c r="L14" t="s">
        <v>122</v>
      </c>
      <c r="M14" t="s">
        <v>18</v>
      </c>
      <c r="P14" t="s">
        <v>187</v>
      </c>
      <c r="R14" t="s">
        <v>19</v>
      </c>
      <c r="S14" t="s">
        <v>90</v>
      </c>
    </row>
    <row r="15" spans="1:19" x14ac:dyDescent="0.25">
      <c r="A15" t="str">
        <f>CONCATENATE(Tabla2[[#This Row],[name_club1]]," vs ",Tabla2[[#This Row],[match_filter]])</f>
        <v>ACARSUR vs FBC AURORA_3</v>
      </c>
      <c r="B15" t="s">
        <v>189</v>
      </c>
      <c r="C15" t="s">
        <v>92</v>
      </c>
      <c r="D15" t="s">
        <v>93</v>
      </c>
      <c r="E15" s="1">
        <v>3</v>
      </c>
      <c r="F15" t="str">
        <f>CONCATENATE(Tabla2[[#This Row],[name_club2]],"_",Tabla2[[#This Row],[npartido]])</f>
        <v>FBC AURORA_3</v>
      </c>
      <c r="G15" s="2" t="s">
        <v>91</v>
      </c>
      <c r="H15" t="s">
        <v>25</v>
      </c>
      <c r="I15" t="s">
        <v>121</v>
      </c>
      <c r="J15" t="s">
        <v>38</v>
      </c>
      <c r="K15" t="s">
        <v>123</v>
      </c>
      <c r="L15" t="s">
        <v>124</v>
      </c>
      <c r="P15" t="s">
        <v>187</v>
      </c>
      <c r="R15" t="s">
        <v>19</v>
      </c>
      <c r="S15" t="s">
        <v>90</v>
      </c>
    </row>
    <row r="16" spans="1:19" x14ac:dyDescent="0.25">
      <c r="A16" t="str">
        <f>CONCATENATE(Tabla2[[#This Row],[name_club1]]," vs ",Tabla2[[#This Row],[match_filter]])</f>
        <v>ACARSUR vs FBC AURORA_3</v>
      </c>
      <c r="B16" t="s">
        <v>189</v>
      </c>
      <c r="C16" t="s">
        <v>92</v>
      </c>
      <c r="D16" t="s">
        <v>93</v>
      </c>
      <c r="E16" s="1">
        <v>3</v>
      </c>
      <c r="F16" t="str">
        <f>CONCATENATE(Tabla2[[#This Row],[name_club2]],"_",Tabla2[[#This Row],[npartido]])</f>
        <v>FBC AURORA_3</v>
      </c>
      <c r="G16" s="2" t="s">
        <v>91</v>
      </c>
      <c r="H16" t="s">
        <v>22</v>
      </c>
      <c r="I16" t="s">
        <v>125</v>
      </c>
      <c r="J16" t="s">
        <v>126</v>
      </c>
      <c r="K16" t="s">
        <v>127</v>
      </c>
      <c r="L16" t="s">
        <v>128</v>
      </c>
      <c r="P16" t="s">
        <v>187</v>
      </c>
      <c r="R16" t="s">
        <v>19</v>
      </c>
      <c r="S16" t="s">
        <v>90</v>
      </c>
    </row>
    <row r="17" spans="1:19" x14ac:dyDescent="0.25">
      <c r="A17" t="str">
        <f>CONCATENATE(Tabla2[[#This Row],[name_club1]]," vs ",Tabla2[[#This Row],[match_filter]])</f>
        <v>ACARSUR vs FBC AURORA_3</v>
      </c>
      <c r="B17" t="s">
        <v>189</v>
      </c>
      <c r="C17" t="s">
        <v>92</v>
      </c>
      <c r="D17" t="s">
        <v>93</v>
      </c>
      <c r="E17" s="1">
        <v>3</v>
      </c>
      <c r="F17" t="str">
        <f>CONCATENATE(Tabla2[[#This Row],[name_club2]],"_",Tabla2[[#This Row],[npartido]])</f>
        <v>FBC AURORA_3</v>
      </c>
      <c r="G17" s="2" t="s">
        <v>91</v>
      </c>
      <c r="H17" t="s">
        <v>28</v>
      </c>
      <c r="I17" t="s">
        <v>39</v>
      </c>
      <c r="J17" t="s">
        <v>129</v>
      </c>
      <c r="K17" t="s">
        <v>57</v>
      </c>
      <c r="L17" t="s">
        <v>130</v>
      </c>
      <c r="M17" t="s">
        <v>23</v>
      </c>
      <c r="P17" t="s">
        <v>187</v>
      </c>
      <c r="R17" t="s">
        <v>19</v>
      </c>
      <c r="S17" t="s">
        <v>90</v>
      </c>
    </row>
    <row r="18" spans="1:19" x14ac:dyDescent="0.25">
      <c r="A18" t="str">
        <f>CONCATENATE(Tabla2[[#This Row],[name_club1]]," vs ",Tabla2[[#This Row],[match_filter]])</f>
        <v>ACARSUR vs FBC AURORA_3</v>
      </c>
      <c r="B18" t="s">
        <v>189</v>
      </c>
      <c r="C18" t="s">
        <v>92</v>
      </c>
      <c r="D18" t="s">
        <v>93</v>
      </c>
      <c r="E18" s="1">
        <v>3</v>
      </c>
      <c r="F18" t="str">
        <f>CONCATENATE(Tabla2[[#This Row],[name_club2]],"_",Tabla2[[#This Row],[npartido]])</f>
        <v>FBC AURORA_3</v>
      </c>
      <c r="G18" s="2" t="s">
        <v>91</v>
      </c>
      <c r="H18" t="s">
        <v>29</v>
      </c>
      <c r="I18" t="s">
        <v>58</v>
      </c>
      <c r="J18" t="s">
        <v>59</v>
      </c>
      <c r="K18" t="s">
        <v>60</v>
      </c>
      <c r="L18" t="s">
        <v>131</v>
      </c>
      <c r="M18" t="s">
        <v>23</v>
      </c>
      <c r="P18" t="s">
        <v>187</v>
      </c>
      <c r="R18" t="s">
        <v>19</v>
      </c>
      <c r="S18" t="s">
        <v>90</v>
      </c>
    </row>
    <row r="19" spans="1:19" x14ac:dyDescent="0.25">
      <c r="A19" t="str">
        <f>CONCATENATE(Tabla2[[#This Row],[name_club1]]," vs ",Tabla2[[#This Row],[match_filter]])</f>
        <v>ACARSUR vs FBC AURORA_3</v>
      </c>
      <c r="B19" t="s">
        <v>189</v>
      </c>
      <c r="C19" t="s">
        <v>92</v>
      </c>
      <c r="D19" t="s">
        <v>93</v>
      </c>
      <c r="E19" s="1">
        <v>3</v>
      </c>
      <c r="F19" t="str">
        <f>CONCATENATE(Tabla2[[#This Row],[name_club2]],"_",Tabla2[[#This Row],[npartido]])</f>
        <v>FBC AURORA_3</v>
      </c>
      <c r="G19" s="2" t="s">
        <v>91</v>
      </c>
      <c r="H19" t="s">
        <v>22</v>
      </c>
      <c r="I19" t="s">
        <v>132</v>
      </c>
      <c r="J19" t="s">
        <v>133</v>
      </c>
      <c r="K19" t="s">
        <v>134</v>
      </c>
      <c r="L19" t="s">
        <v>84</v>
      </c>
      <c r="P19" t="s">
        <v>187</v>
      </c>
      <c r="R19" t="s">
        <v>89</v>
      </c>
      <c r="S19" t="s">
        <v>20</v>
      </c>
    </row>
    <row r="20" spans="1:19" x14ac:dyDescent="0.25">
      <c r="A20" t="str">
        <f>CONCATENATE(Tabla2[[#This Row],[name_club1]]," vs ",Tabla2[[#This Row],[match_filter]])</f>
        <v>ACARSUR vs FBC AURORA_3</v>
      </c>
      <c r="B20" t="s">
        <v>189</v>
      </c>
      <c r="C20" t="s">
        <v>92</v>
      </c>
      <c r="D20" t="s">
        <v>93</v>
      </c>
      <c r="E20" s="1">
        <v>3</v>
      </c>
      <c r="F20" t="str">
        <f>CONCATENATE(Tabla2[[#This Row],[name_club2]],"_",Tabla2[[#This Row],[npartido]])</f>
        <v>FBC AURORA_3</v>
      </c>
      <c r="G20" s="2" t="s">
        <v>91</v>
      </c>
      <c r="H20" t="s">
        <v>17</v>
      </c>
      <c r="I20" t="s">
        <v>135</v>
      </c>
      <c r="J20" t="s">
        <v>62</v>
      </c>
      <c r="K20" t="s">
        <v>136</v>
      </c>
      <c r="L20" t="s">
        <v>137</v>
      </c>
      <c r="M20" t="s">
        <v>18</v>
      </c>
      <c r="P20" t="s">
        <v>187</v>
      </c>
      <c r="R20" t="s">
        <v>89</v>
      </c>
      <c r="S20" t="s">
        <v>20</v>
      </c>
    </row>
    <row r="21" spans="1:19" x14ac:dyDescent="0.25">
      <c r="A21" t="str">
        <f>CONCATENATE(Tabla2[[#This Row],[name_club1]]," vs ",Tabla2[[#This Row],[match_filter]])</f>
        <v>ACARSUR vs FBC AURORA_3</v>
      </c>
      <c r="B21" t="s">
        <v>189</v>
      </c>
      <c r="C21" t="s">
        <v>92</v>
      </c>
      <c r="D21" t="s">
        <v>93</v>
      </c>
      <c r="E21" s="1">
        <v>3</v>
      </c>
      <c r="F21" t="str">
        <f>CONCATENATE(Tabla2[[#This Row],[name_club2]],"_",Tabla2[[#This Row],[npartido]])</f>
        <v>FBC AURORA_3</v>
      </c>
      <c r="G21" s="2" t="s">
        <v>91</v>
      </c>
      <c r="H21" t="s">
        <v>26</v>
      </c>
      <c r="I21" t="s">
        <v>63</v>
      </c>
      <c r="J21" t="s">
        <v>64</v>
      </c>
      <c r="K21" t="s">
        <v>65</v>
      </c>
      <c r="L21" t="s">
        <v>138</v>
      </c>
      <c r="P21" t="s">
        <v>187</v>
      </c>
      <c r="R21" t="s">
        <v>89</v>
      </c>
      <c r="S21" t="s">
        <v>20</v>
      </c>
    </row>
    <row r="22" spans="1:19" x14ac:dyDescent="0.25">
      <c r="A22" t="str">
        <f>CONCATENATE(Tabla2[[#This Row],[name_club1]]," vs ",Tabla2[[#This Row],[match_filter]])</f>
        <v>ACARSUR vs FBC AURORA_3</v>
      </c>
      <c r="B22" t="s">
        <v>189</v>
      </c>
      <c r="C22" t="s">
        <v>92</v>
      </c>
      <c r="D22" t="s">
        <v>93</v>
      </c>
      <c r="E22" s="1">
        <v>3</v>
      </c>
      <c r="F22" t="str">
        <f>CONCATENATE(Tabla2[[#This Row],[name_club2]],"_",Tabla2[[#This Row],[npartido]])</f>
        <v>FBC AURORA_3</v>
      </c>
      <c r="G22" s="2" t="s">
        <v>91</v>
      </c>
      <c r="H22" t="s">
        <v>24</v>
      </c>
      <c r="I22" t="s">
        <v>139</v>
      </c>
      <c r="J22" t="s">
        <v>140</v>
      </c>
      <c r="K22" t="s">
        <v>141</v>
      </c>
      <c r="L22" t="s">
        <v>142</v>
      </c>
      <c r="M22" t="s">
        <v>18</v>
      </c>
      <c r="N22" t="s">
        <v>45</v>
      </c>
      <c r="P22" t="s">
        <v>187</v>
      </c>
      <c r="R22" t="s">
        <v>89</v>
      </c>
      <c r="S22" t="s">
        <v>20</v>
      </c>
    </row>
    <row r="23" spans="1:19" x14ac:dyDescent="0.25">
      <c r="A23" t="str">
        <f>CONCATENATE(Tabla2[[#This Row],[name_club1]]," vs ",Tabla2[[#This Row],[match_filter]])</f>
        <v>ACARSUR vs FBC AURORA_3</v>
      </c>
      <c r="B23" t="s">
        <v>189</v>
      </c>
      <c r="C23" t="s">
        <v>92</v>
      </c>
      <c r="D23" t="s">
        <v>93</v>
      </c>
      <c r="E23" s="1">
        <v>3</v>
      </c>
      <c r="F23" t="str">
        <f>CONCATENATE(Tabla2[[#This Row],[name_club2]],"_",Tabla2[[#This Row],[npartido]])</f>
        <v>FBC AURORA_3</v>
      </c>
      <c r="G23" s="2" t="s">
        <v>91</v>
      </c>
      <c r="H23" t="s">
        <v>43</v>
      </c>
      <c r="I23" t="s">
        <v>66</v>
      </c>
      <c r="J23" t="s">
        <v>143</v>
      </c>
      <c r="K23" t="s">
        <v>144</v>
      </c>
      <c r="L23" t="s">
        <v>145</v>
      </c>
      <c r="M23" t="s">
        <v>18</v>
      </c>
      <c r="P23" t="s">
        <v>187</v>
      </c>
      <c r="R23" t="s">
        <v>89</v>
      </c>
      <c r="S23" t="s">
        <v>20</v>
      </c>
    </row>
    <row r="24" spans="1:19" x14ac:dyDescent="0.25">
      <c r="A24" t="str">
        <f>CONCATENATE(Tabla2[[#This Row],[name_club1]]," vs ",Tabla2[[#This Row],[match_filter]])</f>
        <v>ACARSUR vs FBC AURORA_3</v>
      </c>
      <c r="B24" t="s">
        <v>189</v>
      </c>
      <c r="C24" t="s">
        <v>92</v>
      </c>
      <c r="D24" t="s">
        <v>93</v>
      </c>
      <c r="E24" s="1">
        <v>3</v>
      </c>
      <c r="F24" t="str">
        <f>CONCATENATE(Tabla2[[#This Row],[name_club2]],"_",Tabla2[[#This Row],[npartido]])</f>
        <v>FBC AURORA_3</v>
      </c>
      <c r="G24" s="2" t="s">
        <v>91</v>
      </c>
      <c r="H24" t="s">
        <v>26</v>
      </c>
      <c r="I24" t="s">
        <v>146</v>
      </c>
      <c r="J24" t="s">
        <v>147</v>
      </c>
      <c r="K24" t="s">
        <v>67</v>
      </c>
      <c r="L24" t="s">
        <v>148</v>
      </c>
      <c r="P24" t="s">
        <v>187</v>
      </c>
      <c r="R24" t="s">
        <v>89</v>
      </c>
      <c r="S24" t="s">
        <v>20</v>
      </c>
    </row>
    <row r="25" spans="1:19" x14ac:dyDescent="0.25">
      <c r="A25" t="str">
        <f>CONCATENATE(Tabla2[[#This Row],[name_club1]]," vs ",Tabla2[[#This Row],[match_filter]])</f>
        <v>ACARSUR vs FBC AURORA_3</v>
      </c>
      <c r="B25" t="s">
        <v>189</v>
      </c>
      <c r="C25" t="s">
        <v>92</v>
      </c>
      <c r="D25" t="s">
        <v>93</v>
      </c>
      <c r="E25" s="1">
        <v>3</v>
      </c>
      <c r="F25" t="str">
        <f>CONCATENATE(Tabla2[[#This Row],[name_club2]],"_",Tabla2[[#This Row],[npartido]])</f>
        <v>FBC AURORA_3</v>
      </c>
      <c r="G25" s="2" t="s">
        <v>91</v>
      </c>
      <c r="H25" t="s">
        <v>22</v>
      </c>
      <c r="I25" t="s">
        <v>149</v>
      </c>
      <c r="J25" t="s">
        <v>68</v>
      </c>
      <c r="K25" t="s">
        <v>69</v>
      </c>
      <c r="L25" t="s">
        <v>61</v>
      </c>
      <c r="P25" t="s">
        <v>187</v>
      </c>
      <c r="R25" t="s">
        <v>89</v>
      </c>
      <c r="S25" t="s">
        <v>20</v>
      </c>
    </row>
    <row r="26" spans="1:19" x14ac:dyDescent="0.25">
      <c r="A26" t="str">
        <f>CONCATENATE(Tabla2[[#This Row],[name_club1]]," vs ",Tabla2[[#This Row],[match_filter]])</f>
        <v>ACARSUR vs FBC AURORA_3</v>
      </c>
      <c r="B26" t="s">
        <v>189</v>
      </c>
      <c r="C26" t="s">
        <v>92</v>
      </c>
      <c r="D26" t="s">
        <v>93</v>
      </c>
      <c r="E26" s="1">
        <v>3</v>
      </c>
      <c r="F26" t="str">
        <f>CONCATENATE(Tabla2[[#This Row],[name_club2]],"_",Tabla2[[#This Row],[npartido]])</f>
        <v>FBC AURORA_3</v>
      </c>
      <c r="G26" s="2" t="s">
        <v>91</v>
      </c>
      <c r="H26" t="s">
        <v>43</v>
      </c>
      <c r="I26" t="s">
        <v>71</v>
      </c>
      <c r="J26" t="s">
        <v>72</v>
      </c>
      <c r="K26" t="s">
        <v>73</v>
      </c>
      <c r="L26" t="s">
        <v>150</v>
      </c>
      <c r="M26" t="s">
        <v>18</v>
      </c>
      <c r="P26" t="s">
        <v>187</v>
      </c>
      <c r="R26" t="s">
        <v>89</v>
      </c>
      <c r="S26" t="s">
        <v>20</v>
      </c>
    </row>
    <row r="27" spans="1:19" x14ac:dyDescent="0.25">
      <c r="A27" t="str">
        <f>CONCATENATE(Tabla2[[#This Row],[name_club1]]," vs ",Tabla2[[#This Row],[match_filter]])</f>
        <v>ACARSUR vs FBC AURORA_3</v>
      </c>
      <c r="B27" t="s">
        <v>189</v>
      </c>
      <c r="C27" t="s">
        <v>92</v>
      </c>
      <c r="D27" t="s">
        <v>93</v>
      </c>
      <c r="E27" s="1">
        <v>3</v>
      </c>
      <c r="F27" t="str">
        <f>CONCATENATE(Tabla2[[#This Row],[name_club2]],"_",Tabla2[[#This Row],[npartido]])</f>
        <v>FBC AURORA_3</v>
      </c>
      <c r="G27" s="2" t="s">
        <v>91</v>
      </c>
      <c r="H27" t="s">
        <v>21</v>
      </c>
      <c r="I27" t="s">
        <v>74</v>
      </c>
      <c r="J27" t="s">
        <v>151</v>
      </c>
      <c r="K27" t="s">
        <v>75</v>
      </c>
      <c r="L27" t="s">
        <v>152</v>
      </c>
      <c r="P27" t="s">
        <v>187</v>
      </c>
      <c r="R27" t="s">
        <v>89</v>
      </c>
      <c r="S27" t="s">
        <v>20</v>
      </c>
    </row>
    <row r="28" spans="1:19" x14ac:dyDescent="0.25">
      <c r="A28" t="str">
        <f>CONCATENATE(Tabla2[[#This Row],[name_club1]]," vs ",Tabla2[[#This Row],[match_filter]])</f>
        <v>ACARSUR vs FBC AURORA_3</v>
      </c>
      <c r="B28" t="s">
        <v>189</v>
      </c>
      <c r="C28" t="s">
        <v>92</v>
      </c>
      <c r="D28" t="s">
        <v>93</v>
      </c>
      <c r="E28" s="1">
        <v>3</v>
      </c>
      <c r="F28" t="str">
        <f>CONCATENATE(Tabla2[[#This Row],[name_club2]],"_",Tabla2[[#This Row],[npartido]])</f>
        <v>FBC AURORA_3</v>
      </c>
      <c r="G28" s="2" t="s">
        <v>91</v>
      </c>
      <c r="H28" t="s">
        <v>29</v>
      </c>
      <c r="I28" t="s">
        <v>153</v>
      </c>
      <c r="J28" t="s">
        <v>154</v>
      </c>
      <c r="K28" t="s">
        <v>155</v>
      </c>
      <c r="L28" t="s">
        <v>156</v>
      </c>
      <c r="M28" t="s">
        <v>23</v>
      </c>
      <c r="P28" t="s">
        <v>187</v>
      </c>
      <c r="R28" t="s">
        <v>89</v>
      </c>
      <c r="S28" t="s">
        <v>20</v>
      </c>
    </row>
    <row r="29" spans="1:19" x14ac:dyDescent="0.25">
      <c r="A29" t="str">
        <f>CONCATENATE(Tabla2[[#This Row],[name_club1]]," vs ",Tabla2[[#This Row],[match_filter]])</f>
        <v>ACARSUR vs FBC AURORA_3</v>
      </c>
      <c r="B29" t="s">
        <v>189</v>
      </c>
      <c r="C29" t="s">
        <v>92</v>
      </c>
      <c r="D29" t="s">
        <v>93</v>
      </c>
      <c r="E29" s="1">
        <v>3</v>
      </c>
      <c r="F29" t="str">
        <f>CONCATENATE(Tabla2[[#This Row],[name_club2]],"_",Tabla2[[#This Row],[npartido]])</f>
        <v>FBC AURORA_3</v>
      </c>
      <c r="G29" s="2" t="s">
        <v>91</v>
      </c>
      <c r="H29" t="s">
        <v>24</v>
      </c>
      <c r="I29" t="s">
        <v>157</v>
      </c>
      <c r="J29" t="s">
        <v>76</v>
      </c>
      <c r="K29" t="s">
        <v>77</v>
      </c>
      <c r="L29" t="s">
        <v>158</v>
      </c>
      <c r="M29" t="s">
        <v>18</v>
      </c>
      <c r="P29" t="s">
        <v>187</v>
      </c>
      <c r="R29" t="s">
        <v>89</v>
      </c>
      <c r="S29" t="s">
        <v>20</v>
      </c>
    </row>
    <row r="30" spans="1:19" x14ac:dyDescent="0.25">
      <c r="A30" t="str">
        <f>CONCATENATE(Tabla2[[#This Row],[name_club1]]," vs ",Tabla2[[#This Row],[match_filter]])</f>
        <v>ACARSUR vs FBC AURORA_3</v>
      </c>
      <c r="B30" t="s">
        <v>189</v>
      </c>
      <c r="C30" t="s">
        <v>92</v>
      </c>
      <c r="D30" t="s">
        <v>93</v>
      </c>
      <c r="E30" s="1">
        <v>3</v>
      </c>
      <c r="F30" t="str">
        <f>CONCATENATE(Tabla2[[#This Row],[name_club2]],"_",Tabla2[[#This Row],[npartido]])</f>
        <v>FBC AURORA_3</v>
      </c>
      <c r="G30" s="2" t="s">
        <v>91</v>
      </c>
      <c r="H30" t="s">
        <v>22</v>
      </c>
      <c r="I30" t="s">
        <v>77</v>
      </c>
      <c r="J30" t="s">
        <v>78</v>
      </c>
      <c r="K30" t="s">
        <v>159</v>
      </c>
      <c r="L30" t="s">
        <v>160</v>
      </c>
      <c r="P30" t="s">
        <v>187</v>
      </c>
      <c r="R30" t="s">
        <v>89</v>
      </c>
      <c r="S30" t="s">
        <v>20</v>
      </c>
    </row>
    <row r="31" spans="1:19" x14ac:dyDescent="0.25">
      <c r="A31" t="str">
        <f>CONCATENATE(Tabla2[[#This Row],[name_club1]]," vs ",Tabla2[[#This Row],[match_filter]])</f>
        <v>ACARSUR vs FBC AURORA_3</v>
      </c>
      <c r="B31" t="s">
        <v>189</v>
      </c>
      <c r="C31" t="s">
        <v>92</v>
      </c>
      <c r="D31" t="s">
        <v>93</v>
      </c>
      <c r="E31" s="1">
        <v>3</v>
      </c>
      <c r="F31" t="str">
        <f>CONCATENATE(Tabla2[[#This Row],[name_club2]],"_",Tabla2[[#This Row],[npartido]])</f>
        <v>FBC AURORA_3</v>
      </c>
      <c r="G31" s="2" t="s">
        <v>91</v>
      </c>
      <c r="H31" t="s">
        <v>43</v>
      </c>
      <c r="I31" t="s">
        <v>161</v>
      </c>
      <c r="J31" t="s">
        <v>162</v>
      </c>
      <c r="K31" t="s">
        <v>163</v>
      </c>
      <c r="L31" t="s">
        <v>164</v>
      </c>
      <c r="M31" t="s">
        <v>18</v>
      </c>
      <c r="P31" t="s">
        <v>187</v>
      </c>
      <c r="R31" t="s">
        <v>89</v>
      </c>
      <c r="S31" t="s">
        <v>20</v>
      </c>
    </row>
    <row r="32" spans="1:19" x14ac:dyDescent="0.25">
      <c r="A32" t="str">
        <f>CONCATENATE(Tabla2[[#This Row],[name_club1]]," vs ",Tabla2[[#This Row],[match_filter]])</f>
        <v>ACARSUR vs FBC AURORA_3</v>
      </c>
      <c r="B32" t="s">
        <v>189</v>
      </c>
      <c r="C32" t="s">
        <v>92</v>
      </c>
      <c r="D32" t="s">
        <v>93</v>
      </c>
      <c r="E32" s="1">
        <v>3</v>
      </c>
      <c r="F32" t="str">
        <f>CONCATENATE(Tabla2[[#This Row],[name_club2]],"_",Tabla2[[#This Row],[npartido]])</f>
        <v>FBC AURORA_3</v>
      </c>
      <c r="G32" s="2" t="s">
        <v>91</v>
      </c>
      <c r="H32" t="s">
        <v>24</v>
      </c>
      <c r="I32" t="s">
        <v>79</v>
      </c>
      <c r="J32" t="s">
        <v>165</v>
      </c>
      <c r="K32" t="s">
        <v>166</v>
      </c>
      <c r="L32" t="s">
        <v>80</v>
      </c>
      <c r="M32" t="s">
        <v>18</v>
      </c>
      <c r="P32" t="s">
        <v>187</v>
      </c>
      <c r="R32" t="s">
        <v>89</v>
      </c>
      <c r="S32" t="s">
        <v>20</v>
      </c>
    </row>
    <row r="33" spans="1:19" x14ac:dyDescent="0.25">
      <c r="A33" t="str">
        <f>CONCATENATE(Tabla2[[#This Row],[name_club1]]," vs ",Tabla2[[#This Row],[match_filter]])</f>
        <v>ACARSUR vs FBC AURORA_3</v>
      </c>
      <c r="B33" t="s">
        <v>189</v>
      </c>
      <c r="C33" t="s">
        <v>92</v>
      </c>
      <c r="D33" t="s">
        <v>93</v>
      </c>
      <c r="E33" s="1">
        <v>3</v>
      </c>
      <c r="F33" t="str">
        <f>CONCATENATE(Tabla2[[#This Row],[name_club2]],"_",Tabla2[[#This Row],[npartido]])</f>
        <v>FBC AURORA_3</v>
      </c>
      <c r="G33" s="2" t="s">
        <v>91</v>
      </c>
      <c r="H33" t="s">
        <v>17</v>
      </c>
      <c r="I33" t="s">
        <v>167</v>
      </c>
      <c r="J33" t="s">
        <v>168</v>
      </c>
      <c r="K33" t="s">
        <v>169</v>
      </c>
      <c r="L33" t="s">
        <v>170</v>
      </c>
      <c r="M33" t="s">
        <v>23</v>
      </c>
      <c r="P33" t="s">
        <v>187</v>
      </c>
      <c r="R33" t="s">
        <v>89</v>
      </c>
      <c r="S33" t="s">
        <v>20</v>
      </c>
    </row>
    <row r="34" spans="1:19" x14ac:dyDescent="0.25">
      <c r="A34" t="str">
        <f>CONCATENATE(Tabla2[[#This Row],[name_club1]]," vs ",Tabla2[[#This Row],[match_filter]])</f>
        <v>ACARSUR vs FBC AURORA_3</v>
      </c>
      <c r="B34" t="s">
        <v>189</v>
      </c>
      <c r="C34" t="s">
        <v>92</v>
      </c>
      <c r="D34" t="s">
        <v>93</v>
      </c>
      <c r="E34" s="1">
        <v>3</v>
      </c>
      <c r="F34" t="str">
        <f>CONCATENATE(Tabla2[[#This Row],[name_club2]],"_",Tabla2[[#This Row],[npartido]])</f>
        <v>FBC AURORA_3</v>
      </c>
      <c r="G34" s="2" t="s">
        <v>91</v>
      </c>
      <c r="H34" t="s">
        <v>22</v>
      </c>
      <c r="I34" t="s">
        <v>81</v>
      </c>
      <c r="J34" t="s">
        <v>171</v>
      </c>
      <c r="K34" t="s">
        <v>83</v>
      </c>
      <c r="L34" t="s">
        <v>172</v>
      </c>
      <c r="P34" t="s">
        <v>187</v>
      </c>
      <c r="R34" t="s">
        <v>89</v>
      </c>
      <c r="S34" t="s">
        <v>20</v>
      </c>
    </row>
    <row r="35" spans="1:19" x14ac:dyDescent="0.25">
      <c r="A35" t="str">
        <f>CONCATENATE(Tabla2[[#This Row],[name_club1]]," vs ",Tabla2[[#This Row],[match_filter]])</f>
        <v>ACARSUR vs FBC AURORA_3</v>
      </c>
      <c r="B35" t="s">
        <v>189</v>
      </c>
      <c r="C35" t="s">
        <v>92</v>
      </c>
      <c r="D35" t="s">
        <v>93</v>
      </c>
      <c r="E35" s="1">
        <v>3</v>
      </c>
      <c r="F35" t="str">
        <f>CONCATENATE(Tabla2[[#This Row],[name_club2]],"_",Tabla2[[#This Row],[npartido]])</f>
        <v>FBC AURORA_3</v>
      </c>
      <c r="G35" s="2" t="s">
        <v>91</v>
      </c>
      <c r="H35" t="s">
        <v>24</v>
      </c>
      <c r="I35" t="s">
        <v>82</v>
      </c>
      <c r="J35" t="s">
        <v>173</v>
      </c>
      <c r="K35" t="s">
        <v>85</v>
      </c>
      <c r="L35" t="s">
        <v>174</v>
      </c>
      <c r="M35" t="s">
        <v>18</v>
      </c>
      <c r="P35" t="s">
        <v>187</v>
      </c>
      <c r="R35" t="s">
        <v>89</v>
      </c>
      <c r="S35" t="s">
        <v>20</v>
      </c>
    </row>
    <row r="36" spans="1:19" x14ac:dyDescent="0.25">
      <c r="A36" t="str">
        <f>CONCATENATE(Tabla2[[#This Row],[name_club1]]," vs ",Tabla2[[#This Row],[match_filter]])</f>
        <v>ACARSUR vs FBC AURORA_3</v>
      </c>
      <c r="B36" t="s">
        <v>189</v>
      </c>
      <c r="C36" t="s">
        <v>92</v>
      </c>
      <c r="D36" t="s">
        <v>93</v>
      </c>
      <c r="E36" s="1">
        <v>3</v>
      </c>
      <c r="F36" t="str">
        <f>CONCATENATE(Tabla2[[#This Row],[name_club2]],"_",Tabla2[[#This Row],[npartido]])</f>
        <v>FBC AURORA_3</v>
      </c>
      <c r="G36" s="2" t="s">
        <v>91</v>
      </c>
      <c r="H36" t="s">
        <v>24</v>
      </c>
      <c r="I36" t="s">
        <v>175</v>
      </c>
      <c r="J36" t="s">
        <v>176</v>
      </c>
      <c r="K36" t="s">
        <v>177</v>
      </c>
      <c r="L36" t="s">
        <v>178</v>
      </c>
      <c r="M36" t="s">
        <v>18</v>
      </c>
      <c r="P36" t="s">
        <v>187</v>
      </c>
      <c r="R36" t="s">
        <v>89</v>
      </c>
      <c r="S36" t="s">
        <v>20</v>
      </c>
    </row>
    <row r="37" spans="1:19" x14ac:dyDescent="0.25">
      <c r="A37" t="str">
        <f>CONCATENATE(Tabla2[[#This Row],[name_club1]]," vs ",Tabla2[[#This Row],[match_filter]])</f>
        <v>ACARSUR vs FBC AURORA_3</v>
      </c>
      <c r="B37" t="s">
        <v>189</v>
      </c>
      <c r="C37" t="s">
        <v>92</v>
      </c>
      <c r="D37" t="s">
        <v>93</v>
      </c>
      <c r="E37" s="1">
        <v>3</v>
      </c>
      <c r="F37" t="str">
        <f>CONCATENATE(Tabla2[[#This Row],[name_club2]],"_",Tabla2[[#This Row],[npartido]])</f>
        <v>FBC AURORA_3</v>
      </c>
      <c r="G37" s="2" t="s">
        <v>91</v>
      </c>
      <c r="H37" t="s">
        <v>22</v>
      </c>
      <c r="I37" t="s">
        <v>179</v>
      </c>
      <c r="J37" t="s">
        <v>180</v>
      </c>
      <c r="K37" t="s">
        <v>181</v>
      </c>
      <c r="L37" t="s">
        <v>70</v>
      </c>
      <c r="P37" t="s">
        <v>187</v>
      </c>
      <c r="R37" t="s">
        <v>89</v>
      </c>
      <c r="S37" t="s">
        <v>20</v>
      </c>
    </row>
    <row r="38" spans="1:19" x14ac:dyDescent="0.25">
      <c r="A38" t="str">
        <f>CONCATENATE(Tabla2[[#This Row],[name_club1]]," vs ",Tabla2[[#This Row],[match_filter]])</f>
        <v>ACARSUR vs FBC AURORA_3</v>
      </c>
      <c r="B38" t="s">
        <v>189</v>
      </c>
      <c r="C38" t="s">
        <v>92</v>
      </c>
      <c r="D38" t="s">
        <v>93</v>
      </c>
      <c r="E38" s="1">
        <v>3</v>
      </c>
      <c r="F38" t="str">
        <f>CONCATENATE(Tabla2[[#This Row],[name_club2]],"_",Tabla2[[#This Row],[npartido]])</f>
        <v>FBC AURORA_3</v>
      </c>
      <c r="G38" s="2" t="s">
        <v>91</v>
      </c>
      <c r="H38" t="s">
        <v>43</v>
      </c>
      <c r="I38" t="s">
        <v>86</v>
      </c>
      <c r="J38" t="s">
        <v>182</v>
      </c>
      <c r="K38" t="s">
        <v>183</v>
      </c>
      <c r="L38" t="s">
        <v>184</v>
      </c>
      <c r="M38" t="s">
        <v>18</v>
      </c>
      <c r="P38" t="s">
        <v>187</v>
      </c>
      <c r="R38" t="s">
        <v>89</v>
      </c>
      <c r="S38" t="s">
        <v>20</v>
      </c>
    </row>
    <row r="39" spans="1:19" x14ac:dyDescent="0.25">
      <c r="A39" t="str">
        <f>CONCATENATE(Tabla2[[#This Row],[name_club1]]," vs ",Tabla2[[#This Row],[match_filter]])</f>
        <v>ACARSUR vs FBC AURORA_3</v>
      </c>
      <c r="B39" t="s">
        <v>189</v>
      </c>
      <c r="C39" t="s">
        <v>92</v>
      </c>
      <c r="D39" t="s">
        <v>93</v>
      </c>
      <c r="E39" s="1">
        <v>3</v>
      </c>
      <c r="F39" t="str">
        <f>CONCATENATE(Tabla2[[#This Row],[name_club2]],"_",Tabla2[[#This Row],[npartido]])</f>
        <v>FBC AURORA_3</v>
      </c>
      <c r="G39" s="2" t="s">
        <v>91</v>
      </c>
      <c r="H39" t="s">
        <v>27</v>
      </c>
      <c r="I39" t="s">
        <v>185</v>
      </c>
      <c r="J39" t="s">
        <v>87</v>
      </c>
      <c r="K39" t="s">
        <v>88</v>
      </c>
      <c r="L39" t="s">
        <v>186</v>
      </c>
      <c r="M39" t="s">
        <v>23</v>
      </c>
      <c r="P39" t="s">
        <v>187</v>
      </c>
      <c r="R39" t="s">
        <v>89</v>
      </c>
      <c r="S39" t="s">
        <v>20</v>
      </c>
    </row>
    <row r="40" spans="1:19" x14ac:dyDescent="0.25">
      <c r="A40" t="str">
        <f>CONCATENATE(Tabla2[[#This Row],[name_club1]]," vs ",Tabla2[[#This Row],[match_filter]])</f>
        <v>ACARSUR vs UCV AQP_1</v>
      </c>
      <c r="B40" t="s">
        <v>189</v>
      </c>
      <c r="C40" t="s">
        <v>92</v>
      </c>
      <c r="D40" t="s">
        <v>349</v>
      </c>
      <c r="E40" s="1">
        <v>1</v>
      </c>
      <c r="F40" t="str">
        <f>CONCATENATE(Tabla2[[#This Row],[name_club2]],"_",Tabla2[[#This Row],[npartido]])</f>
        <v>UCV AQP_1</v>
      </c>
      <c r="G40" s="3" t="s">
        <v>350</v>
      </c>
      <c r="H40" t="s">
        <v>17</v>
      </c>
      <c r="I40" t="s">
        <v>190</v>
      </c>
      <c r="J40" t="s">
        <v>191</v>
      </c>
      <c r="K40" t="s">
        <v>192</v>
      </c>
      <c r="L40" t="s">
        <v>193</v>
      </c>
      <c r="M40" t="s">
        <v>18</v>
      </c>
      <c r="P40" t="s">
        <v>187</v>
      </c>
      <c r="R40" t="s">
        <v>19</v>
      </c>
      <c r="S40" t="s">
        <v>90</v>
      </c>
    </row>
    <row r="41" spans="1:19" x14ac:dyDescent="0.25">
      <c r="A41" t="str">
        <f>CONCATENATE(Tabla2[[#This Row],[name_club1]]," vs ",Tabla2[[#This Row],[match_filter]])</f>
        <v>ACARSUR vs UCV AQP_1</v>
      </c>
      <c r="B41" t="s">
        <v>189</v>
      </c>
      <c r="C41" t="s">
        <v>92</v>
      </c>
      <c r="D41" t="s">
        <v>349</v>
      </c>
      <c r="E41" s="1">
        <v>1</v>
      </c>
      <c r="F41" t="str">
        <f>CONCATENATE(Tabla2[[#This Row],[name_club2]],"_",Tabla2[[#This Row],[npartido]])</f>
        <v>UCV AQP_1</v>
      </c>
      <c r="G41" s="4" t="s">
        <v>350</v>
      </c>
      <c r="H41" t="s">
        <v>43</v>
      </c>
      <c r="I41" t="s">
        <v>194</v>
      </c>
      <c r="J41" t="s">
        <v>195</v>
      </c>
      <c r="K41" t="s">
        <v>196</v>
      </c>
      <c r="L41" t="s">
        <v>197</v>
      </c>
      <c r="M41" t="s">
        <v>18</v>
      </c>
      <c r="P41" t="s">
        <v>187</v>
      </c>
      <c r="R41" t="s">
        <v>19</v>
      </c>
      <c r="S41" t="s">
        <v>90</v>
      </c>
    </row>
    <row r="42" spans="1:19" x14ac:dyDescent="0.25">
      <c r="A42" t="str">
        <f>CONCATENATE(Tabla2[[#This Row],[name_club1]]," vs ",Tabla2[[#This Row],[match_filter]])</f>
        <v>ACARSUR vs UCV AQP_1</v>
      </c>
      <c r="B42" t="s">
        <v>189</v>
      </c>
      <c r="C42" t="s">
        <v>92</v>
      </c>
      <c r="D42" t="s">
        <v>349</v>
      </c>
      <c r="E42" s="1">
        <v>1</v>
      </c>
      <c r="F42" t="str">
        <f>CONCATENATE(Tabla2[[#This Row],[name_club2]],"_",Tabla2[[#This Row],[npartido]])</f>
        <v>UCV AQP_1</v>
      </c>
      <c r="G42" s="4" t="s">
        <v>350</v>
      </c>
      <c r="H42" t="s">
        <v>17</v>
      </c>
      <c r="I42" t="s">
        <v>198</v>
      </c>
      <c r="J42" t="s">
        <v>199</v>
      </c>
      <c r="K42" t="s">
        <v>200</v>
      </c>
      <c r="L42" t="s">
        <v>201</v>
      </c>
      <c r="M42" t="s">
        <v>23</v>
      </c>
      <c r="P42" t="s">
        <v>187</v>
      </c>
      <c r="R42" t="s">
        <v>19</v>
      </c>
      <c r="S42" t="s">
        <v>90</v>
      </c>
    </row>
    <row r="43" spans="1:19" x14ac:dyDescent="0.25">
      <c r="A43" t="str">
        <f>CONCATENATE(Tabla2[[#This Row],[name_club1]]," vs ",Tabla2[[#This Row],[match_filter]])</f>
        <v>ACARSUR vs UCV AQP_1</v>
      </c>
      <c r="B43" t="s">
        <v>189</v>
      </c>
      <c r="C43" t="s">
        <v>92</v>
      </c>
      <c r="D43" t="s">
        <v>349</v>
      </c>
      <c r="E43" s="1">
        <v>1</v>
      </c>
      <c r="F43" t="str">
        <f>CONCATENATE(Tabla2[[#This Row],[name_club2]],"_",Tabla2[[#This Row],[npartido]])</f>
        <v>UCV AQP_1</v>
      </c>
      <c r="G43" s="4" t="s">
        <v>350</v>
      </c>
      <c r="H43" t="s">
        <v>43</v>
      </c>
      <c r="I43" t="s">
        <v>202</v>
      </c>
      <c r="J43" t="s">
        <v>203</v>
      </c>
      <c r="K43" t="s">
        <v>204</v>
      </c>
      <c r="M43" t="s">
        <v>23</v>
      </c>
      <c r="P43" t="s">
        <v>187</v>
      </c>
      <c r="R43" t="s">
        <v>19</v>
      </c>
      <c r="S43" t="s">
        <v>90</v>
      </c>
    </row>
    <row r="44" spans="1:19" x14ac:dyDescent="0.25">
      <c r="A44" t="str">
        <f>CONCATENATE(Tabla2[[#This Row],[name_club1]]," vs ",Tabla2[[#This Row],[match_filter]])</f>
        <v>ACARSUR vs UCV AQP_1</v>
      </c>
      <c r="B44" t="s">
        <v>189</v>
      </c>
      <c r="C44" t="s">
        <v>92</v>
      </c>
      <c r="D44" t="s">
        <v>349</v>
      </c>
      <c r="E44" s="1">
        <v>1</v>
      </c>
      <c r="F44" t="str">
        <f>CONCATENATE(Tabla2[[#This Row],[name_club2]],"_",Tabla2[[#This Row],[npartido]])</f>
        <v>UCV AQP_1</v>
      </c>
      <c r="G44" s="4" t="s">
        <v>350</v>
      </c>
      <c r="H44" t="s">
        <v>17</v>
      </c>
      <c r="I44" t="s">
        <v>205</v>
      </c>
      <c r="J44" t="s">
        <v>204</v>
      </c>
      <c r="K44" t="s">
        <v>206</v>
      </c>
      <c r="L44" t="s">
        <v>207</v>
      </c>
      <c r="M44" t="s">
        <v>18</v>
      </c>
      <c r="P44" t="s">
        <v>187</v>
      </c>
      <c r="R44" t="s">
        <v>19</v>
      </c>
      <c r="S44" t="s">
        <v>90</v>
      </c>
    </row>
    <row r="45" spans="1:19" x14ac:dyDescent="0.25">
      <c r="A45" t="str">
        <f>CONCATENATE(Tabla2[[#This Row],[name_club1]]," vs ",Tabla2[[#This Row],[match_filter]])</f>
        <v>ACARSUR vs UCV AQP_1</v>
      </c>
      <c r="B45" t="s">
        <v>189</v>
      </c>
      <c r="C45" t="s">
        <v>92</v>
      </c>
      <c r="D45" t="s">
        <v>349</v>
      </c>
      <c r="E45" s="1">
        <v>1</v>
      </c>
      <c r="F45" t="str">
        <f>CONCATENATE(Tabla2[[#This Row],[name_club2]],"_",Tabla2[[#This Row],[npartido]])</f>
        <v>UCV AQP_1</v>
      </c>
      <c r="G45" s="4" t="s">
        <v>350</v>
      </c>
      <c r="H45" t="s">
        <v>43</v>
      </c>
      <c r="I45" t="s">
        <v>208</v>
      </c>
      <c r="J45" t="s">
        <v>209</v>
      </c>
      <c r="K45" t="s">
        <v>210</v>
      </c>
      <c r="M45" t="s">
        <v>23</v>
      </c>
      <c r="P45" t="s">
        <v>187</v>
      </c>
      <c r="R45" t="s">
        <v>19</v>
      </c>
      <c r="S45" t="s">
        <v>90</v>
      </c>
    </row>
    <row r="46" spans="1:19" x14ac:dyDescent="0.25">
      <c r="A46" t="str">
        <f>CONCATENATE(Tabla2[[#This Row],[name_club1]]," vs ",Tabla2[[#This Row],[match_filter]])</f>
        <v>ACARSUR vs UCV AQP_1</v>
      </c>
      <c r="B46" t="s">
        <v>189</v>
      </c>
      <c r="C46" t="s">
        <v>92</v>
      </c>
      <c r="D46" t="s">
        <v>349</v>
      </c>
      <c r="E46" s="1">
        <v>1</v>
      </c>
      <c r="F46" t="str">
        <f>CONCATENATE(Tabla2[[#This Row],[name_club2]],"_",Tabla2[[#This Row],[npartido]])</f>
        <v>UCV AQP_1</v>
      </c>
      <c r="G46" s="4" t="s">
        <v>350</v>
      </c>
      <c r="H46" t="s">
        <v>17</v>
      </c>
      <c r="I46" t="s">
        <v>209</v>
      </c>
      <c r="J46" t="s">
        <v>211</v>
      </c>
      <c r="K46" t="s">
        <v>212</v>
      </c>
      <c r="L46" t="s">
        <v>213</v>
      </c>
      <c r="M46" t="s">
        <v>18</v>
      </c>
      <c r="P46" t="s">
        <v>187</v>
      </c>
      <c r="R46" t="s">
        <v>19</v>
      </c>
      <c r="S46" t="s">
        <v>90</v>
      </c>
    </row>
    <row r="47" spans="1:19" x14ac:dyDescent="0.25">
      <c r="A47" t="str">
        <f>CONCATENATE(Tabla2[[#This Row],[name_club1]]," vs ",Tabla2[[#This Row],[match_filter]])</f>
        <v>ACARSUR vs UCV AQP_1</v>
      </c>
      <c r="B47" t="s">
        <v>189</v>
      </c>
      <c r="C47" t="s">
        <v>92</v>
      </c>
      <c r="D47" t="s">
        <v>349</v>
      </c>
      <c r="E47" s="1">
        <v>1</v>
      </c>
      <c r="F47" t="str">
        <f>CONCATENATE(Tabla2[[#This Row],[name_club2]],"_",Tabla2[[#This Row],[npartido]])</f>
        <v>UCV AQP_1</v>
      </c>
      <c r="G47" s="4" t="s">
        <v>350</v>
      </c>
      <c r="H47" t="s">
        <v>29</v>
      </c>
      <c r="I47" t="s">
        <v>214</v>
      </c>
      <c r="J47" t="s">
        <v>215</v>
      </c>
      <c r="K47" t="s">
        <v>216</v>
      </c>
      <c r="L47" t="s">
        <v>217</v>
      </c>
      <c r="M47" t="s">
        <v>23</v>
      </c>
      <c r="P47" t="s">
        <v>187</v>
      </c>
      <c r="R47" t="s">
        <v>19</v>
      </c>
      <c r="S47" t="s">
        <v>90</v>
      </c>
    </row>
    <row r="48" spans="1:19" x14ac:dyDescent="0.25">
      <c r="A48" t="str">
        <f>CONCATENATE(Tabla2[[#This Row],[name_club1]]," vs ",Tabla2[[#This Row],[match_filter]])</f>
        <v>ACARSUR vs UCV AQP_1</v>
      </c>
      <c r="B48" t="s">
        <v>189</v>
      </c>
      <c r="C48" t="s">
        <v>92</v>
      </c>
      <c r="D48" t="s">
        <v>349</v>
      </c>
      <c r="E48" s="1">
        <v>1</v>
      </c>
      <c r="F48" t="str">
        <f>CONCATENATE(Tabla2[[#This Row],[name_club2]],"_",Tabla2[[#This Row],[npartido]])</f>
        <v>UCV AQP_1</v>
      </c>
      <c r="G48" s="4" t="s">
        <v>350</v>
      </c>
      <c r="H48" t="s">
        <v>22</v>
      </c>
      <c r="I48" t="s">
        <v>218</v>
      </c>
      <c r="J48" t="s">
        <v>219</v>
      </c>
      <c r="K48" t="s">
        <v>216</v>
      </c>
      <c r="L48" t="s">
        <v>220</v>
      </c>
      <c r="P48" t="s">
        <v>187</v>
      </c>
      <c r="R48" t="s">
        <v>19</v>
      </c>
      <c r="S48" t="s">
        <v>90</v>
      </c>
    </row>
    <row r="49" spans="1:19" x14ac:dyDescent="0.25">
      <c r="A49" t="str">
        <f>CONCATENATE(Tabla2[[#This Row],[name_club1]]," vs ",Tabla2[[#This Row],[match_filter]])</f>
        <v>ACARSUR vs UCV AQP_1</v>
      </c>
      <c r="B49" t="s">
        <v>189</v>
      </c>
      <c r="C49" t="s">
        <v>92</v>
      </c>
      <c r="D49" t="s">
        <v>349</v>
      </c>
      <c r="E49" s="1">
        <v>1</v>
      </c>
      <c r="F49" t="str">
        <f>CONCATENATE(Tabla2[[#This Row],[name_club2]],"_",Tabla2[[#This Row],[npartido]])</f>
        <v>UCV AQP_1</v>
      </c>
      <c r="G49" s="4" t="s">
        <v>350</v>
      </c>
      <c r="H49" t="s">
        <v>25</v>
      </c>
      <c r="I49" t="s">
        <v>221</v>
      </c>
      <c r="J49" t="s">
        <v>222</v>
      </c>
      <c r="K49" t="s">
        <v>223</v>
      </c>
      <c r="L49" t="s">
        <v>224</v>
      </c>
      <c r="P49" t="s">
        <v>187</v>
      </c>
      <c r="R49" t="s">
        <v>19</v>
      </c>
      <c r="S49" t="s">
        <v>90</v>
      </c>
    </row>
    <row r="50" spans="1:19" x14ac:dyDescent="0.25">
      <c r="A50" t="str">
        <f>CONCATENATE(Tabla2[[#This Row],[name_club1]]," vs ",Tabla2[[#This Row],[match_filter]])</f>
        <v>ACARSUR vs UCV AQP_1</v>
      </c>
      <c r="B50" t="s">
        <v>189</v>
      </c>
      <c r="C50" t="s">
        <v>92</v>
      </c>
      <c r="D50" t="s">
        <v>349</v>
      </c>
      <c r="E50" s="1">
        <v>1</v>
      </c>
      <c r="F50" t="str">
        <f>CONCATENATE(Tabla2[[#This Row],[name_club2]],"_",Tabla2[[#This Row],[npartido]])</f>
        <v>UCV AQP_1</v>
      </c>
      <c r="G50" s="4" t="s">
        <v>350</v>
      </c>
      <c r="H50" t="s">
        <v>43</v>
      </c>
      <c r="I50" t="s">
        <v>225</v>
      </c>
      <c r="J50" t="s">
        <v>226</v>
      </c>
      <c r="K50" t="s">
        <v>227</v>
      </c>
      <c r="L50" t="s">
        <v>228</v>
      </c>
      <c r="M50" t="s">
        <v>18</v>
      </c>
      <c r="P50" t="s">
        <v>187</v>
      </c>
      <c r="R50" t="s">
        <v>19</v>
      </c>
      <c r="S50" t="s">
        <v>90</v>
      </c>
    </row>
    <row r="51" spans="1:19" x14ac:dyDescent="0.25">
      <c r="A51" t="str">
        <f>CONCATENATE(Tabla2[[#This Row],[name_club1]]," vs ",Tabla2[[#This Row],[match_filter]])</f>
        <v>ACARSUR vs UCV AQP_1</v>
      </c>
      <c r="B51" t="s">
        <v>189</v>
      </c>
      <c r="C51" t="s">
        <v>92</v>
      </c>
      <c r="D51" t="s">
        <v>349</v>
      </c>
      <c r="E51" s="1">
        <v>1</v>
      </c>
      <c r="F51" t="str">
        <f>CONCATENATE(Tabla2[[#This Row],[name_club2]],"_",Tabla2[[#This Row],[npartido]])</f>
        <v>UCV AQP_1</v>
      </c>
      <c r="G51" s="4" t="s">
        <v>350</v>
      </c>
      <c r="H51" t="s">
        <v>29</v>
      </c>
      <c r="I51" t="s">
        <v>229</v>
      </c>
      <c r="J51" t="s">
        <v>230</v>
      </c>
      <c r="K51" t="s">
        <v>231</v>
      </c>
      <c r="L51" t="s">
        <v>232</v>
      </c>
      <c r="M51" t="s">
        <v>18</v>
      </c>
      <c r="P51" t="s">
        <v>187</v>
      </c>
      <c r="R51" t="s">
        <v>19</v>
      </c>
      <c r="S51" t="s">
        <v>90</v>
      </c>
    </row>
    <row r="52" spans="1:19" x14ac:dyDescent="0.25">
      <c r="A52" t="str">
        <f>CONCATENATE(Tabla2[[#This Row],[name_club1]]," vs ",Tabla2[[#This Row],[match_filter]])</f>
        <v>ACARSUR vs UCV AQP_1</v>
      </c>
      <c r="B52" t="s">
        <v>189</v>
      </c>
      <c r="C52" t="s">
        <v>92</v>
      </c>
      <c r="D52" t="s">
        <v>349</v>
      </c>
      <c r="E52" s="1">
        <v>1</v>
      </c>
      <c r="F52" t="str">
        <f>CONCATENATE(Tabla2[[#This Row],[name_club2]],"_",Tabla2[[#This Row],[npartido]])</f>
        <v>UCV AQP_1</v>
      </c>
      <c r="G52" s="4" t="s">
        <v>350</v>
      </c>
      <c r="H52" t="s">
        <v>24</v>
      </c>
      <c r="I52" t="s">
        <v>233</v>
      </c>
      <c r="J52" t="s">
        <v>234</v>
      </c>
      <c r="K52" t="s">
        <v>235</v>
      </c>
      <c r="L52" t="s">
        <v>236</v>
      </c>
      <c r="M52" t="s">
        <v>18</v>
      </c>
      <c r="N52" t="s">
        <v>45</v>
      </c>
      <c r="P52" t="s">
        <v>187</v>
      </c>
      <c r="R52" t="s">
        <v>19</v>
      </c>
      <c r="S52" t="s">
        <v>90</v>
      </c>
    </row>
    <row r="53" spans="1:19" x14ac:dyDescent="0.25">
      <c r="A53" t="str">
        <f>CONCATENATE(Tabla2[[#This Row],[name_club1]]," vs ",Tabla2[[#This Row],[match_filter]])</f>
        <v>ACARSUR vs UCV AQP_1</v>
      </c>
      <c r="B53" t="s">
        <v>189</v>
      </c>
      <c r="C53" t="s">
        <v>92</v>
      </c>
      <c r="D53" t="s">
        <v>349</v>
      </c>
      <c r="E53" s="1">
        <v>1</v>
      </c>
      <c r="F53" t="str">
        <f>CONCATENATE(Tabla2[[#This Row],[name_club2]],"_",Tabla2[[#This Row],[npartido]])</f>
        <v>UCV AQP_1</v>
      </c>
      <c r="G53" s="4" t="s">
        <v>350</v>
      </c>
      <c r="H53" t="s">
        <v>29</v>
      </c>
      <c r="I53" t="s">
        <v>237</v>
      </c>
      <c r="J53" t="s">
        <v>119</v>
      </c>
      <c r="K53" t="s">
        <v>238</v>
      </c>
      <c r="L53" t="s">
        <v>239</v>
      </c>
      <c r="M53" t="s">
        <v>18</v>
      </c>
      <c r="P53" t="s">
        <v>187</v>
      </c>
      <c r="R53" t="s">
        <v>19</v>
      </c>
      <c r="S53" t="s">
        <v>90</v>
      </c>
    </row>
    <row r="54" spans="1:19" x14ac:dyDescent="0.25">
      <c r="A54" t="str">
        <f>CONCATENATE(Tabla2[[#This Row],[name_club1]]," vs ",Tabla2[[#This Row],[match_filter]])</f>
        <v>ACARSUR vs UCV AQP_1</v>
      </c>
      <c r="B54" t="s">
        <v>189</v>
      </c>
      <c r="C54" t="s">
        <v>92</v>
      </c>
      <c r="D54" t="s">
        <v>349</v>
      </c>
      <c r="E54" s="1">
        <v>1</v>
      </c>
      <c r="F54" t="str">
        <f>CONCATENATE(Tabla2[[#This Row],[name_club2]],"_",Tabla2[[#This Row],[npartido]])</f>
        <v>UCV AQP_1</v>
      </c>
      <c r="G54" s="4" t="s">
        <v>350</v>
      </c>
      <c r="H54" t="s">
        <v>43</v>
      </c>
      <c r="I54" t="s">
        <v>240</v>
      </c>
      <c r="J54" t="s">
        <v>241</v>
      </c>
      <c r="K54" t="s">
        <v>242</v>
      </c>
      <c r="L54" t="s">
        <v>243</v>
      </c>
      <c r="M54" t="s">
        <v>18</v>
      </c>
      <c r="P54" t="s">
        <v>187</v>
      </c>
      <c r="R54" t="s">
        <v>19</v>
      </c>
      <c r="S54" t="s">
        <v>90</v>
      </c>
    </row>
    <row r="55" spans="1:19" x14ac:dyDescent="0.25">
      <c r="A55" t="str">
        <f>CONCATENATE(Tabla2[[#This Row],[name_club1]]," vs ",Tabla2[[#This Row],[match_filter]])</f>
        <v>ACARSUR vs UCV AQP_1</v>
      </c>
      <c r="B55" t="s">
        <v>189</v>
      </c>
      <c r="C55" t="s">
        <v>92</v>
      </c>
      <c r="D55" t="s">
        <v>349</v>
      </c>
      <c r="E55" s="1">
        <v>1</v>
      </c>
      <c r="F55" t="str">
        <f>CONCATENATE(Tabla2[[#This Row],[name_club2]],"_",Tabla2[[#This Row],[npartido]])</f>
        <v>UCV AQP_1</v>
      </c>
      <c r="G55" s="4" t="s">
        <v>350</v>
      </c>
      <c r="H55" t="s">
        <v>24</v>
      </c>
      <c r="I55" t="s">
        <v>244</v>
      </c>
      <c r="J55" t="s">
        <v>245</v>
      </c>
      <c r="K55" t="s">
        <v>246</v>
      </c>
      <c r="L55" t="s">
        <v>247</v>
      </c>
      <c r="M55" t="s">
        <v>18</v>
      </c>
      <c r="P55" t="s">
        <v>187</v>
      </c>
      <c r="R55" t="s">
        <v>19</v>
      </c>
      <c r="S55" t="s">
        <v>90</v>
      </c>
    </row>
    <row r="56" spans="1:19" x14ac:dyDescent="0.25">
      <c r="A56" t="str">
        <f>CONCATENATE(Tabla2[[#This Row],[name_club1]]," vs ",Tabla2[[#This Row],[match_filter]])</f>
        <v>ACARSUR vs UCV AQP_1</v>
      </c>
      <c r="B56" t="s">
        <v>189</v>
      </c>
      <c r="C56" t="s">
        <v>92</v>
      </c>
      <c r="D56" t="s">
        <v>349</v>
      </c>
      <c r="E56" s="1">
        <v>1</v>
      </c>
      <c r="F56" t="str">
        <f>CONCATENATE(Tabla2[[#This Row],[name_club2]],"_",Tabla2[[#This Row],[npartido]])</f>
        <v>UCV AQP_1</v>
      </c>
      <c r="G56" s="4" t="s">
        <v>350</v>
      </c>
      <c r="H56" t="s">
        <v>22</v>
      </c>
      <c r="I56" t="s">
        <v>248</v>
      </c>
      <c r="J56" t="s">
        <v>249</v>
      </c>
      <c r="K56" t="s">
        <v>250</v>
      </c>
      <c r="L56" t="s">
        <v>251</v>
      </c>
      <c r="P56" t="s">
        <v>187</v>
      </c>
      <c r="R56" t="s">
        <v>19</v>
      </c>
      <c r="S56" t="s">
        <v>90</v>
      </c>
    </row>
    <row r="57" spans="1:19" x14ac:dyDescent="0.25">
      <c r="A57" t="str">
        <f>CONCATENATE(Tabla2[[#This Row],[name_club1]]," vs ",Tabla2[[#This Row],[match_filter]])</f>
        <v>ACARSUR vs UCV AQP_1</v>
      </c>
      <c r="B57" t="s">
        <v>189</v>
      </c>
      <c r="C57" t="s">
        <v>92</v>
      </c>
      <c r="D57" t="s">
        <v>349</v>
      </c>
      <c r="E57" s="1">
        <v>1</v>
      </c>
      <c r="F57" t="str">
        <f>CONCATENATE(Tabla2[[#This Row],[name_club2]],"_",Tabla2[[#This Row],[npartido]])</f>
        <v>UCV AQP_1</v>
      </c>
      <c r="G57" s="4" t="s">
        <v>350</v>
      </c>
      <c r="H57" t="s">
        <v>17</v>
      </c>
      <c r="I57" t="s">
        <v>127</v>
      </c>
      <c r="J57" t="s">
        <v>252</v>
      </c>
      <c r="K57" t="s">
        <v>253</v>
      </c>
      <c r="L57" t="s">
        <v>254</v>
      </c>
      <c r="M57" t="s">
        <v>18</v>
      </c>
      <c r="P57" t="s">
        <v>187</v>
      </c>
      <c r="R57" t="s">
        <v>19</v>
      </c>
      <c r="S57" t="s">
        <v>90</v>
      </c>
    </row>
    <row r="58" spans="1:19" x14ac:dyDescent="0.25">
      <c r="A58" t="str">
        <f>CONCATENATE(Tabla2[[#This Row],[name_club1]]," vs ",Tabla2[[#This Row],[match_filter]])</f>
        <v>ACARSUR vs UCV AQP_1</v>
      </c>
      <c r="B58" t="s">
        <v>189</v>
      </c>
      <c r="C58" t="s">
        <v>92</v>
      </c>
      <c r="D58" t="s">
        <v>349</v>
      </c>
      <c r="E58" s="1">
        <v>1</v>
      </c>
      <c r="F58" t="str">
        <f>CONCATENATE(Tabla2[[#This Row],[name_club2]],"_",Tabla2[[#This Row],[npartido]])</f>
        <v>UCV AQP_1</v>
      </c>
      <c r="G58" s="4" t="s">
        <v>350</v>
      </c>
      <c r="H58" t="s">
        <v>28</v>
      </c>
      <c r="I58" t="s">
        <v>255</v>
      </c>
      <c r="J58" t="s">
        <v>256</v>
      </c>
      <c r="K58" t="s">
        <v>257</v>
      </c>
      <c r="L58" t="s">
        <v>258</v>
      </c>
      <c r="M58" t="s">
        <v>18</v>
      </c>
      <c r="P58" t="s">
        <v>187</v>
      </c>
      <c r="R58" t="s">
        <v>19</v>
      </c>
      <c r="S58" t="s">
        <v>90</v>
      </c>
    </row>
    <row r="59" spans="1:19" x14ac:dyDescent="0.25">
      <c r="A59" t="str">
        <f>CONCATENATE(Tabla2[[#This Row],[name_club1]]," vs ",Tabla2[[#This Row],[match_filter]])</f>
        <v>ACARSUR vs UCV AQP_1</v>
      </c>
      <c r="B59" t="s">
        <v>189</v>
      </c>
      <c r="C59" t="s">
        <v>92</v>
      </c>
      <c r="D59" t="s">
        <v>349</v>
      </c>
      <c r="E59" s="1">
        <v>1</v>
      </c>
      <c r="F59" t="str">
        <f>CONCATENATE(Tabla2[[#This Row],[name_club2]],"_",Tabla2[[#This Row],[npartido]])</f>
        <v>UCV AQP_1</v>
      </c>
      <c r="G59" s="4" t="s">
        <v>350</v>
      </c>
      <c r="H59" t="s">
        <v>17</v>
      </c>
      <c r="I59" t="s">
        <v>256</v>
      </c>
      <c r="J59" t="s">
        <v>259</v>
      </c>
      <c r="K59" t="s">
        <v>260</v>
      </c>
      <c r="L59" t="s">
        <v>261</v>
      </c>
      <c r="M59" t="s">
        <v>18</v>
      </c>
      <c r="P59" t="s">
        <v>187</v>
      </c>
      <c r="R59" t="s">
        <v>19</v>
      </c>
      <c r="S59" t="s">
        <v>90</v>
      </c>
    </row>
    <row r="60" spans="1:19" x14ac:dyDescent="0.25">
      <c r="A60" t="str">
        <f>CONCATENATE(Tabla2[[#This Row],[name_club1]]," vs ",Tabla2[[#This Row],[match_filter]])</f>
        <v>ACARSUR vs UCV AQP_1</v>
      </c>
      <c r="B60" t="s">
        <v>189</v>
      </c>
      <c r="C60" t="s">
        <v>92</v>
      </c>
      <c r="D60" t="s">
        <v>349</v>
      </c>
      <c r="E60" s="1">
        <v>1</v>
      </c>
      <c r="F60" t="str">
        <f>CONCATENATE(Tabla2[[#This Row],[name_club2]],"_",Tabla2[[#This Row],[npartido]])</f>
        <v>UCV AQP_1</v>
      </c>
      <c r="G60" s="4" t="s">
        <v>350</v>
      </c>
      <c r="H60" t="s">
        <v>43</v>
      </c>
      <c r="I60" t="s">
        <v>262</v>
      </c>
      <c r="J60" t="s">
        <v>263</v>
      </c>
      <c r="K60" t="s">
        <v>264</v>
      </c>
      <c r="L60" t="s">
        <v>265</v>
      </c>
      <c r="M60" t="s">
        <v>18</v>
      </c>
      <c r="P60" t="s">
        <v>187</v>
      </c>
      <c r="R60" t="s">
        <v>19</v>
      </c>
      <c r="S60" t="s">
        <v>90</v>
      </c>
    </row>
    <row r="61" spans="1:19" x14ac:dyDescent="0.25">
      <c r="A61" t="str">
        <f>CONCATENATE(Tabla2[[#This Row],[name_club1]]," vs ",Tabla2[[#This Row],[match_filter]])</f>
        <v>ACARSUR vs UCV AQP_1</v>
      </c>
      <c r="B61" t="s">
        <v>189</v>
      </c>
      <c r="C61" t="s">
        <v>92</v>
      </c>
      <c r="D61" t="s">
        <v>349</v>
      </c>
      <c r="E61" s="1">
        <v>1</v>
      </c>
      <c r="F61" t="str">
        <f>CONCATENATE(Tabla2[[#This Row],[name_club2]],"_",Tabla2[[#This Row],[npartido]])</f>
        <v>UCV AQP_1</v>
      </c>
      <c r="G61" s="4" t="s">
        <v>350</v>
      </c>
      <c r="H61" t="s">
        <v>17</v>
      </c>
      <c r="I61" t="s">
        <v>263</v>
      </c>
      <c r="J61" t="s">
        <v>266</v>
      </c>
      <c r="K61" t="s">
        <v>264</v>
      </c>
      <c r="L61" t="s">
        <v>267</v>
      </c>
      <c r="M61" t="s">
        <v>18</v>
      </c>
      <c r="P61" t="s">
        <v>187</v>
      </c>
      <c r="R61" t="s">
        <v>19</v>
      </c>
      <c r="S61" t="s">
        <v>90</v>
      </c>
    </row>
    <row r="62" spans="1:19" x14ac:dyDescent="0.25">
      <c r="A62" t="str">
        <f>CONCATENATE(Tabla2[[#This Row],[name_club1]]," vs ",Tabla2[[#This Row],[match_filter]])</f>
        <v>ACARSUR vs UCV AQP_1</v>
      </c>
      <c r="B62" t="s">
        <v>189</v>
      </c>
      <c r="C62" t="s">
        <v>92</v>
      </c>
      <c r="D62" t="s">
        <v>349</v>
      </c>
      <c r="E62" s="1">
        <v>1</v>
      </c>
      <c r="F62" t="str">
        <f>CONCATENATE(Tabla2[[#This Row],[name_club2]],"_",Tabla2[[#This Row],[npartido]])</f>
        <v>UCV AQP_1</v>
      </c>
      <c r="G62" s="4" t="s">
        <v>350</v>
      </c>
      <c r="H62" t="s">
        <v>17</v>
      </c>
      <c r="I62" t="s">
        <v>268</v>
      </c>
      <c r="J62" t="s">
        <v>269</v>
      </c>
      <c r="K62" t="s">
        <v>270</v>
      </c>
      <c r="L62" t="s">
        <v>271</v>
      </c>
      <c r="M62" t="s">
        <v>18</v>
      </c>
      <c r="P62" t="s">
        <v>187</v>
      </c>
      <c r="R62" t="s">
        <v>19</v>
      </c>
      <c r="S62" t="s">
        <v>90</v>
      </c>
    </row>
    <row r="63" spans="1:19" x14ac:dyDescent="0.25">
      <c r="A63" t="str">
        <f>CONCATENATE(Tabla2[[#This Row],[name_club1]]," vs ",Tabla2[[#This Row],[match_filter]])</f>
        <v>ACARSUR vs UCV AQP_1</v>
      </c>
      <c r="B63" t="s">
        <v>189</v>
      </c>
      <c r="C63" t="s">
        <v>92</v>
      </c>
      <c r="D63" t="s">
        <v>349</v>
      </c>
      <c r="E63" s="1">
        <v>1</v>
      </c>
      <c r="F63" t="str">
        <f>CONCATENATE(Tabla2[[#This Row],[name_club2]],"_",Tabla2[[#This Row],[npartido]])</f>
        <v>UCV AQP_1</v>
      </c>
      <c r="G63" s="4" t="s">
        <v>350</v>
      </c>
      <c r="H63" t="s">
        <v>27</v>
      </c>
      <c r="I63" t="s">
        <v>272</v>
      </c>
      <c r="J63" t="s">
        <v>273</v>
      </c>
      <c r="K63" t="s">
        <v>274</v>
      </c>
      <c r="L63" t="s">
        <v>275</v>
      </c>
      <c r="M63" t="s">
        <v>18</v>
      </c>
      <c r="P63" t="s">
        <v>187</v>
      </c>
      <c r="R63" t="s">
        <v>19</v>
      </c>
      <c r="S63" t="s">
        <v>90</v>
      </c>
    </row>
    <row r="64" spans="1:19" x14ac:dyDescent="0.25">
      <c r="A64" t="str">
        <f>CONCATENATE(Tabla2[[#This Row],[name_club1]]," vs ",Tabla2[[#This Row],[match_filter]])</f>
        <v>ACARSUR vs UCV AQP_1</v>
      </c>
      <c r="B64" t="s">
        <v>189</v>
      </c>
      <c r="C64" t="s">
        <v>92</v>
      </c>
      <c r="D64" t="s">
        <v>349</v>
      </c>
      <c r="E64" s="1">
        <v>1</v>
      </c>
      <c r="F64" t="str">
        <f>CONCATENATE(Tabla2[[#This Row],[name_club2]],"_",Tabla2[[#This Row],[npartido]])</f>
        <v>UCV AQP_1</v>
      </c>
      <c r="G64" s="4" t="s">
        <v>350</v>
      </c>
      <c r="H64" t="s">
        <v>27</v>
      </c>
      <c r="I64" t="s">
        <v>276</v>
      </c>
      <c r="J64" t="s">
        <v>277</v>
      </c>
      <c r="K64" t="s">
        <v>278</v>
      </c>
      <c r="L64" t="s">
        <v>279</v>
      </c>
      <c r="M64" t="s">
        <v>18</v>
      </c>
      <c r="P64" t="s">
        <v>187</v>
      </c>
      <c r="R64" t="s">
        <v>89</v>
      </c>
      <c r="S64" t="s">
        <v>20</v>
      </c>
    </row>
    <row r="65" spans="1:19" x14ac:dyDescent="0.25">
      <c r="A65" t="str">
        <f>CONCATENATE(Tabla2[[#This Row],[name_club1]]," vs ",Tabla2[[#This Row],[match_filter]])</f>
        <v>ACARSUR vs UCV AQP_1</v>
      </c>
      <c r="B65" t="s">
        <v>189</v>
      </c>
      <c r="C65" t="s">
        <v>92</v>
      </c>
      <c r="D65" t="s">
        <v>349</v>
      </c>
      <c r="E65" s="1">
        <v>1</v>
      </c>
      <c r="F65" t="str">
        <f>CONCATENATE(Tabla2[[#This Row],[name_club2]],"_",Tabla2[[#This Row],[npartido]])</f>
        <v>UCV AQP_1</v>
      </c>
      <c r="G65" s="4" t="s">
        <v>350</v>
      </c>
      <c r="H65" t="s">
        <v>28</v>
      </c>
      <c r="I65" t="s">
        <v>280</v>
      </c>
      <c r="J65" t="s">
        <v>281</v>
      </c>
      <c r="K65" t="s">
        <v>282</v>
      </c>
      <c r="L65" t="s">
        <v>283</v>
      </c>
      <c r="M65" t="s">
        <v>23</v>
      </c>
      <c r="P65" t="s">
        <v>187</v>
      </c>
      <c r="R65" t="s">
        <v>89</v>
      </c>
      <c r="S65" t="s">
        <v>20</v>
      </c>
    </row>
    <row r="66" spans="1:19" x14ac:dyDescent="0.25">
      <c r="A66" t="str">
        <f>CONCATENATE(Tabla2[[#This Row],[name_club1]]," vs ",Tabla2[[#This Row],[match_filter]])</f>
        <v>ACARSUR vs UCV AQP_1</v>
      </c>
      <c r="B66" t="s">
        <v>189</v>
      </c>
      <c r="C66" t="s">
        <v>92</v>
      </c>
      <c r="D66" t="s">
        <v>349</v>
      </c>
      <c r="E66" s="1">
        <v>1</v>
      </c>
      <c r="F66" t="str">
        <f>CONCATENATE(Tabla2[[#This Row],[name_club2]],"_",Tabla2[[#This Row],[npartido]])</f>
        <v>UCV AQP_1</v>
      </c>
      <c r="G66" s="4" t="s">
        <v>350</v>
      </c>
      <c r="H66" t="s">
        <v>29</v>
      </c>
      <c r="I66" t="s">
        <v>284</v>
      </c>
      <c r="J66" t="s">
        <v>285</v>
      </c>
      <c r="K66" t="s">
        <v>286</v>
      </c>
      <c r="L66" t="s">
        <v>287</v>
      </c>
      <c r="M66" t="s">
        <v>23</v>
      </c>
      <c r="P66" t="s">
        <v>187</v>
      </c>
      <c r="R66" t="s">
        <v>89</v>
      </c>
      <c r="S66" t="s">
        <v>20</v>
      </c>
    </row>
    <row r="67" spans="1:19" x14ac:dyDescent="0.25">
      <c r="A67" t="str">
        <f>CONCATENATE(Tabla2[[#This Row],[name_club1]]," vs ",Tabla2[[#This Row],[match_filter]])</f>
        <v>ACARSUR vs UCV AQP_1</v>
      </c>
      <c r="B67" t="s">
        <v>189</v>
      </c>
      <c r="C67" t="s">
        <v>92</v>
      </c>
      <c r="D67" t="s">
        <v>349</v>
      </c>
      <c r="E67" s="1">
        <v>1</v>
      </c>
      <c r="F67" t="str">
        <f>CONCATENATE(Tabla2[[#This Row],[name_club2]],"_",Tabla2[[#This Row],[npartido]])</f>
        <v>UCV AQP_1</v>
      </c>
      <c r="G67" s="4" t="s">
        <v>350</v>
      </c>
      <c r="H67" t="s">
        <v>17</v>
      </c>
      <c r="I67" t="s">
        <v>288</v>
      </c>
      <c r="J67" t="s">
        <v>285</v>
      </c>
      <c r="K67" t="s">
        <v>289</v>
      </c>
      <c r="L67" t="s">
        <v>290</v>
      </c>
      <c r="M67" t="s">
        <v>23</v>
      </c>
      <c r="P67" t="s">
        <v>187</v>
      </c>
      <c r="R67" t="s">
        <v>89</v>
      </c>
      <c r="S67" t="s">
        <v>20</v>
      </c>
    </row>
    <row r="68" spans="1:19" x14ac:dyDescent="0.25">
      <c r="A68" t="str">
        <f>CONCATENATE(Tabla2[[#This Row],[name_club1]]," vs ",Tabla2[[#This Row],[match_filter]])</f>
        <v>ACARSUR vs UCV AQP_1</v>
      </c>
      <c r="B68" t="s">
        <v>189</v>
      </c>
      <c r="C68" t="s">
        <v>92</v>
      </c>
      <c r="D68" t="s">
        <v>349</v>
      </c>
      <c r="E68" s="1">
        <v>1</v>
      </c>
      <c r="F68" t="str">
        <f>CONCATENATE(Tabla2[[#This Row],[name_club2]],"_",Tabla2[[#This Row],[npartido]])</f>
        <v>UCV AQP_1</v>
      </c>
      <c r="G68" s="4" t="s">
        <v>350</v>
      </c>
      <c r="H68" t="s">
        <v>17</v>
      </c>
      <c r="I68" t="s">
        <v>291</v>
      </c>
      <c r="J68" t="s">
        <v>292</v>
      </c>
      <c r="K68" t="s">
        <v>293</v>
      </c>
      <c r="L68" t="s">
        <v>294</v>
      </c>
      <c r="M68" t="s">
        <v>18</v>
      </c>
      <c r="P68" t="s">
        <v>187</v>
      </c>
      <c r="R68" t="s">
        <v>89</v>
      </c>
      <c r="S68" t="s">
        <v>20</v>
      </c>
    </row>
    <row r="69" spans="1:19" x14ac:dyDescent="0.25">
      <c r="A69" t="str">
        <f>CONCATENATE(Tabla2[[#This Row],[name_club1]]," vs ",Tabla2[[#This Row],[match_filter]])</f>
        <v>ACARSUR vs UCV AQP_1</v>
      </c>
      <c r="B69" t="s">
        <v>189</v>
      </c>
      <c r="C69" t="s">
        <v>92</v>
      </c>
      <c r="D69" t="s">
        <v>349</v>
      </c>
      <c r="E69" s="1">
        <v>1</v>
      </c>
      <c r="F69" t="str">
        <f>CONCATENATE(Tabla2[[#This Row],[name_club2]],"_",Tabla2[[#This Row],[npartido]])</f>
        <v>UCV AQP_1</v>
      </c>
      <c r="G69" s="4" t="s">
        <v>350</v>
      </c>
      <c r="H69" t="s">
        <v>17</v>
      </c>
      <c r="I69" t="s">
        <v>295</v>
      </c>
      <c r="J69" t="s">
        <v>296</v>
      </c>
      <c r="K69" t="s">
        <v>297</v>
      </c>
      <c r="L69" t="s">
        <v>298</v>
      </c>
      <c r="M69" t="s">
        <v>18</v>
      </c>
      <c r="P69" t="s">
        <v>187</v>
      </c>
      <c r="R69" t="s">
        <v>89</v>
      </c>
      <c r="S69" t="s">
        <v>20</v>
      </c>
    </row>
    <row r="70" spans="1:19" x14ac:dyDescent="0.25">
      <c r="A70" t="str">
        <f>CONCATENATE(Tabla2[[#This Row],[name_club1]]," vs ",Tabla2[[#This Row],[match_filter]])</f>
        <v>ACARSUR vs UCV AQP_1</v>
      </c>
      <c r="B70" t="s">
        <v>189</v>
      </c>
      <c r="C70" t="s">
        <v>92</v>
      </c>
      <c r="D70" t="s">
        <v>349</v>
      </c>
      <c r="E70" s="1">
        <v>1</v>
      </c>
      <c r="F70" t="str">
        <f>CONCATENATE(Tabla2[[#This Row],[name_club2]],"_",Tabla2[[#This Row],[npartido]])</f>
        <v>UCV AQP_1</v>
      </c>
      <c r="G70" s="4" t="s">
        <v>350</v>
      </c>
      <c r="H70" t="s">
        <v>43</v>
      </c>
      <c r="I70" t="s">
        <v>299</v>
      </c>
      <c r="J70" t="s">
        <v>300</v>
      </c>
      <c r="K70" t="s">
        <v>301</v>
      </c>
      <c r="L70" t="s">
        <v>302</v>
      </c>
      <c r="M70" t="s">
        <v>18</v>
      </c>
      <c r="P70" t="s">
        <v>187</v>
      </c>
      <c r="R70" t="s">
        <v>89</v>
      </c>
      <c r="S70" t="s">
        <v>20</v>
      </c>
    </row>
    <row r="71" spans="1:19" x14ac:dyDescent="0.25">
      <c r="A71" t="str">
        <f>CONCATENATE(Tabla2[[#This Row],[name_club1]]," vs ",Tabla2[[#This Row],[match_filter]])</f>
        <v>ACARSUR vs UCV AQP_1</v>
      </c>
      <c r="B71" t="s">
        <v>189</v>
      </c>
      <c r="C71" t="s">
        <v>92</v>
      </c>
      <c r="D71" t="s">
        <v>349</v>
      </c>
      <c r="E71" s="1">
        <v>1</v>
      </c>
      <c r="F71" t="str">
        <f>CONCATENATE(Tabla2[[#This Row],[name_club2]],"_",Tabla2[[#This Row],[npartido]])</f>
        <v>UCV AQP_1</v>
      </c>
      <c r="G71" s="4" t="s">
        <v>350</v>
      </c>
      <c r="H71" t="s">
        <v>29</v>
      </c>
      <c r="I71" t="s">
        <v>303</v>
      </c>
      <c r="J71" t="s">
        <v>304</v>
      </c>
      <c r="K71" t="s">
        <v>305</v>
      </c>
      <c r="L71" t="s">
        <v>306</v>
      </c>
      <c r="M71" t="s">
        <v>23</v>
      </c>
      <c r="P71" t="s">
        <v>187</v>
      </c>
      <c r="R71" t="s">
        <v>89</v>
      </c>
      <c r="S71" t="s">
        <v>20</v>
      </c>
    </row>
    <row r="72" spans="1:19" x14ac:dyDescent="0.25">
      <c r="A72" t="str">
        <f>CONCATENATE(Tabla2[[#This Row],[name_club1]]," vs ",Tabla2[[#This Row],[match_filter]])</f>
        <v>ACARSUR vs UCV AQP_1</v>
      </c>
      <c r="B72" t="s">
        <v>189</v>
      </c>
      <c r="C72" t="s">
        <v>92</v>
      </c>
      <c r="D72" t="s">
        <v>349</v>
      </c>
      <c r="E72" s="1">
        <v>1</v>
      </c>
      <c r="F72" t="str">
        <f>CONCATENATE(Tabla2[[#This Row],[name_club2]],"_",Tabla2[[#This Row],[npartido]])</f>
        <v>UCV AQP_1</v>
      </c>
      <c r="G72" s="4" t="s">
        <v>350</v>
      </c>
      <c r="H72" t="s">
        <v>17</v>
      </c>
      <c r="I72" t="s">
        <v>307</v>
      </c>
      <c r="J72" t="s">
        <v>308</v>
      </c>
      <c r="K72" t="s">
        <v>309</v>
      </c>
      <c r="L72" t="s">
        <v>310</v>
      </c>
      <c r="M72" t="s">
        <v>18</v>
      </c>
      <c r="P72" t="s">
        <v>187</v>
      </c>
      <c r="R72" t="s">
        <v>89</v>
      </c>
      <c r="S72" t="s">
        <v>20</v>
      </c>
    </row>
    <row r="73" spans="1:19" x14ac:dyDescent="0.25">
      <c r="A73" t="str">
        <f>CONCATENATE(Tabla2[[#This Row],[name_club1]]," vs ",Tabla2[[#This Row],[match_filter]])</f>
        <v>ACARSUR vs UCV AQP_1</v>
      </c>
      <c r="B73" t="s">
        <v>189</v>
      </c>
      <c r="C73" t="s">
        <v>92</v>
      </c>
      <c r="D73" t="s">
        <v>349</v>
      </c>
      <c r="E73" s="1">
        <v>1</v>
      </c>
      <c r="F73" t="str">
        <f>CONCATENATE(Tabla2[[#This Row],[name_club2]],"_",Tabla2[[#This Row],[npartido]])</f>
        <v>UCV AQP_1</v>
      </c>
      <c r="G73" s="4" t="s">
        <v>350</v>
      </c>
      <c r="H73" t="s">
        <v>17</v>
      </c>
      <c r="I73" t="s">
        <v>311</v>
      </c>
      <c r="J73" t="s">
        <v>312</v>
      </c>
      <c r="K73" t="s">
        <v>313</v>
      </c>
      <c r="L73" t="s">
        <v>314</v>
      </c>
      <c r="M73" t="s">
        <v>23</v>
      </c>
      <c r="P73" t="s">
        <v>187</v>
      </c>
      <c r="R73" t="s">
        <v>89</v>
      </c>
      <c r="S73" t="s">
        <v>20</v>
      </c>
    </row>
    <row r="74" spans="1:19" x14ac:dyDescent="0.25">
      <c r="A74" t="str">
        <f>CONCATENATE(Tabla2[[#This Row],[name_club1]]," vs ",Tabla2[[#This Row],[match_filter]])</f>
        <v>ACARSUR vs UCV AQP_1</v>
      </c>
      <c r="B74" t="s">
        <v>189</v>
      </c>
      <c r="C74" t="s">
        <v>92</v>
      </c>
      <c r="D74" t="s">
        <v>349</v>
      </c>
      <c r="E74" s="1">
        <v>1</v>
      </c>
      <c r="F74" t="str">
        <f>CONCATENATE(Tabla2[[#This Row],[name_club2]],"_",Tabla2[[#This Row],[npartido]])</f>
        <v>UCV AQP_1</v>
      </c>
      <c r="G74" s="4" t="s">
        <v>350</v>
      </c>
      <c r="H74" t="s">
        <v>43</v>
      </c>
      <c r="I74" t="s">
        <v>315</v>
      </c>
      <c r="J74" t="s">
        <v>316</v>
      </c>
      <c r="K74" t="s">
        <v>317</v>
      </c>
      <c r="L74" t="s">
        <v>318</v>
      </c>
      <c r="M74" t="s">
        <v>18</v>
      </c>
      <c r="P74" t="s">
        <v>187</v>
      </c>
      <c r="R74" t="s">
        <v>89</v>
      </c>
      <c r="S74" t="s">
        <v>20</v>
      </c>
    </row>
    <row r="75" spans="1:19" x14ac:dyDescent="0.25">
      <c r="A75" t="str">
        <f>CONCATENATE(Tabla2[[#This Row],[name_club1]]," vs ",Tabla2[[#This Row],[match_filter]])</f>
        <v>ACARSUR vs UCV AQP_1</v>
      </c>
      <c r="B75" t="s">
        <v>189</v>
      </c>
      <c r="C75" t="s">
        <v>92</v>
      </c>
      <c r="D75" t="s">
        <v>349</v>
      </c>
      <c r="E75" s="1">
        <v>1</v>
      </c>
      <c r="F75" t="str">
        <f>CONCATENATE(Tabla2[[#This Row],[name_club2]],"_",Tabla2[[#This Row],[npartido]])</f>
        <v>UCV AQP_1</v>
      </c>
      <c r="G75" s="4" t="s">
        <v>350</v>
      </c>
      <c r="H75" t="s">
        <v>28</v>
      </c>
      <c r="I75" t="s">
        <v>315</v>
      </c>
      <c r="J75" t="s">
        <v>319</v>
      </c>
      <c r="K75" t="s">
        <v>320</v>
      </c>
      <c r="L75" t="s">
        <v>321</v>
      </c>
      <c r="M75" t="s">
        <v>18</v>
      </c>
      <c r="P75" t="s">
        <v>187</v>
      </c>
      <c r="R75" t="s">
        <v>89</v>
      </c>
      <c r="S75" t="s">
        <v>20</v>
      </c>
    </row>
    <row r="76" spans="1:19" x14ac:dyDescent="0.25">
      <c r="A76" t="str">
        <f>CONCATENATE(Tabla2[[#This Row],[name_club1]]," vs ",Tabla2[[#This Row],[match_filter]])</f>
        <v>ACARSUR vs UCV AQP_1</v>
      </c>
      <c r="B76" t="s">
        <v>189</v>
      </c>
      <c r="C76" t="s">
        <v>92</v>
      </c>
      <c r="D76" t="s">
        <v>349</v>
      </c>
      <c r="E76" s="1">
        <v>1</v>
      </c>
      <c r="F76" t="str">
        <f>CONCATENATE(Tabla2[[#This Row],[name_club2]],"_",Tabla2[[#This Row],[npartido]])</f>
        <v>UCV AQP_1</v>
      </c>
      <c r="G76" s="4" t="s">
        <v>350</v>
      </c>
      <c r="H76" t="s">
        <v>27</v>
      </c>
      <c r="I76" t="s">
        <v>317</v>
      </c>
      <c r="J76" t="s">
        <v>322</v>
      </c>
      <c r="K76" t="s">
        <v>323</v>
      </c>
      <c r="L76" t="s">
        <v>324</v>
      </c>
      <c r="M76" t="s">
        <v>18</v>
      </c>
      <c r="P76" t="s">
        <v>187</v>
      </c>
      <c r="R76" t="s">
        <v>89</v>
      </c>
      <c r="S76" t="s">
        <v>20</v>
      </c>
    </row>
    <row r="77" spans="1:19" x14ac:dyDescent="0.25">
      <c r="A77" t="str">
        <f>CONCATENATE(Tabla2[[#This Row],[name_club1]]," vs ",Tabla2[[#This Row],[match_filter]])</f>
        <v>ACARSUR vs UCV AQP_1</v>
      </c>
      <c r="B77" t="s">
        <v>189</v>
      </c>
      <c r="C77" t="s">
        <v>92</v>
      </c>
      <c r="D77" t="s">
        <v>349</v>
      </c>
      <c r="E77" s="1">
        <v>1</v>
      </c>
      <c r="F77" t="str">
        <f>CONCATENATE(Tabla2[[#This Row],[name_club2]],"_",Tabla2[[#This Row],[npartido]])</f>
        <v>UCV AQP_1</v>
      </c>
      <c r="G77" s="4" t="s">
        <v>350</v>
      </c>
      <c r="H77" t="s">
        <v>17</v>
      </c>
      <c r="I77" t="s">
        <v>325</v>
      </c>
      <c r="J77" t="s">
        <v>326</v>
      </c>
      <c r="K77" t="s">
        <v>320</v>
      </c>
      <c r="L77" t="s">
        <v>327</v>
      </c>
      <c r="M77" t="s">
        <v>23</v>
      </c>
      <c r="P77" t="s">
        <v>187</v>
      </c>
      <c r="R77" t="s">
        <v>89</v>
      </c>
      <c r="S77" t="s">
        <v>20</v>
      </c>
    </row>
    <row r="78" spans="1:19" x14ac:dyDescent="0.25">
      <c r="A78" t="str">
        <f>CONCATENATE(Tabla2[[#This Row],[name_club1]]," vs ",Tabla2[[#This Row],[match_filter]])</f>
        <v>ACARSUR vs UCV AQP_1</v>
      </c>
      <c r="B78" t="s">
        <v>189</v>
      </c>
      <c r="C78" t="s">
        <v>92</v>
      </c>
      <c r="D78" t="s">
        <v>349</v>
      </c>
      <c r="E78" s="1">
        <v>1</v>
      </c>
      <c r="F78" t="str">
        <f>CONCATENATE(Tabla2[[#This Row],[name_club2]],"_",Tabla2[[#This Row],[npartido]])</f>
        <v>UCV AQP_1</v>
      </c>
      <c r="G78" s="4" t="s">
        <v>350</v>
      </c>
      <c r="H78" t="s">
        <v>29</v>
      </c>
      <c r="I78" t="s">
        <v>328</v>
      </c>
      <c r="J78" t="s">
        <v>329</v>
      </c>
      <c r="K78" t="s">
        <v>330</v>
      </c>
      <c r="L78" t="s">
        <v>331</v>
      </c>
      <c r="M78" t="s">
        <v>18</v>
      </c>
      <c r="P78" t="s">
        <v>187</v>
      </c>
      <c r="R78" t="s">
        <v>89</v>
      </c>
      <c r="S78" t="s">
        <v>20</v>
      </c>
    </row>
    <row r="79" spans="1:19" x14ac:dyDescent="0.25">
      <c r="A79" t="str">
        <f>CONCATENATE(Tabla2[[#This Row],[name_club1]]," vs ",Tabla2[[#This Row],[match_filter]])</f>
        <v>ACARSUR vs UCV AQP_1</v>
      </c>
      <c r="B79" t="s">
        <v>189</v>
      </c>
      <c r="C79" t="s">
        <v>92</v>
      </c>
      <c r="D79" t="s">
        <v>349</v>
      </c>
      <c r="E79" s="1">
        <v>1</v>
      </c>
      <c r="F79" t="str">
        <f>CONCATENATE(Tabla2[[#This Row],[name_club2]],"_",Tabla2[[#This Row],[npartido]])</f>
        <v>UCV AQP_1</v>
      </c>
      <c r="G79" s="4" t="s">
        <v>350</v>
      </c>
      <c r="H79" t="s">
        <v>17</v>
      </c>
      <c r="I79" t="s">
        <v>329</v>
      </c>
      <c r="J79" t="s">
        <v>332</v>
      </c>
      <c r="K79" t="s">
        <v>333</v>
      </c>
      <c r="L79" t="s">
        <v>334</v>
      </c>
      <c r="M79" t="s">
        <v>18</v>
      </c>
      <c r="P79" t="s">
        <v>187</v>
      </c>
      <c r="R79" t="s">
        <v>89</v>
      </c>
      <c r="S79" t="s">
        <v>20</v>
      </c>
    </row>
    <row r="80" spans="1:19" x14ac:dyDescent="0.25">
      <c r="A80" t="str">
        <f>CONCATENATE(Tabla2[[#This Row],[name_club1]]," vs ",Tabla2[[#This Row],[match_filter]])</f>
        <v>ACARSUR vs UCV AQP_1</v>
      </c>
      <c r="B80" t="s">
        <v>189</v>
      </c>
      <c r="C80" t="s">
        <v>92</v>
      </c>
      <c r="D80" t="s">
        <v>349</v>
      </c>
      <c r="E80" s="1">
        <v>1</v>
      </c>
      <c r="F80" t="str">
        <f>CONCATENATE(Tabla2[[#This Row],[name_club2]],"_",Tabla2[[#This Row],[npartido]])</f>
        <v>UCV AQP_1</v>
      </c>
      <c r="G80" s="4" t="s">
        <v>350</v>
      </c>
      <c r="H80" t="s">
        <v>26</v>
      </c>
      <c r="I80" t="s">
        <v>335</v>
      </c>
      <c r="J80" t="s">
        <v>336</v>
      </c>
      <c r="K80" t="s">
        <v>337</v>
      </c>
      <c r="L80" t="s">
        <v>338</v>
      </c>
      <c r="P80" t="s">
        <v>187</v>
      </c>
      <c r="R80" t="s">
        <v>89</v>
      </c>
      <c r="S80" t="s">
        <v>20</v>
      </c>
    </row>
    <row r="81" spans="1:19" x14ac:dyDescent="0.25">
      <c r="A81" t="str">
        <f>CONCATENATE(Tabla2[[#This Row],[name_club1]]," vs ",Tabla2[[#This Row],[match_filter]])</f>
        <v>ACARSUR vs UCV AQP_1</v>
      </c>
      <c r="B81" t="s">
        <v>189</v>
      </c>
      <c r="C81" t="s">
        <v>92</v>
      </c>
      <c r="D81" t="s">
        <v>349</v>
      </c>
      <c r="E81" s="1">
        <v>1</v>
      </c>
      <c r="F81" t="str">
        <f>CONCATENATE(Tabla2[[#This Row],[name_club2]],"_",Tabla2[[#This Row],[npartido]])</f>
        <v>UCV AQP_1</v>
      </c>
      <c r="G81" s="4" t="s">
        <v>350</v>
      </c>
      <c r="H81" t="s">
        <v>28</v>
      </c>
      <c r="I81" t="s">
        <v>339</v>
      </c>
      <c r="J81" t="s">
        <v>340</v>
      </c>
      <c r="K81" t="s">
        <v>341</v>
      </c>
      <c r="L81" t="s">
        <v>342</v>
      </c>
      <c r="M81" t="s">
        <v>18</v>
      </c>
      <c r="P81" t="s">
        <v>187</v>
      </c>
      <c r="R81" t="s">
        <v>89</v>
      </c>
      <c r="S81" t="s">
        <v>20</v>
      </c>
    </row>
    <row r="82" spans="1:19" x14ac:dyDescent="0.25">
      <c r="A82" t="str">
        <f>CONCATENATE(Tabla2[[#This Row],[name_club1]]," vs ",Tabla2[[#This Row],[match_filter]])</f>
        <v>ACARSUR vs UCV AQP_1</v>
      </c>
      <c r="B82" t="s">
        <v>189</v>
      </c>
      <c r="C82" t="s">
        <v>92</v>
      </c>
      <c r="D82" t="s">
        <v>349</v>
      </c>
      <c r="E82" s="1">
        <v>1</v>
      </c>
      <c r="F82" t="str">
        <f>CONCATENATE(Tabla2[[#This Row],[name_club2]],"_",Tabla2[[#This Row],[npartido]])</f>
        <v>UCV AQP_1</v>
      </c>
      <c r="G82" s="4" t="s">
        <v>350</v>
      </c>
      <c r="H82" t="s">
        <v>27</v>
      </c>
      <c r="I82" t="s">
        <v>340</v>
      </c>
      <c r="J82" t="s">
        <v>343</v>
      </c>
      <c r="K82" t="s">
        <v>344</v>
      </c>
      <c r="M82" t="s">
        <v>18</v>
      </c>
      <c r="P82" t="s">
        <v>187</v>
      </c>
      <c r="R82" t="s">
        <v>89</v>
      </c>
      <c r="S82" t="s">
        <v>20</v>
      </c>
    </row>
    <row r="83" spans="1:19" x14ac:dyDescent="0.25">
      <c r="A83" t="str">
        <f>CONCATENATE(Tabla2[[#This Row],[name_club1]]," vs ",Tabla2[[#This Row],[match_filter]])</f>
        <v>ACARSUR vs UCV AQP_1</v>
      </c>
      <c r="B83" t="s">
        <v>189</v>
      </c>
      <c r="C83" t="s">
        <v>92</v>
      </c>
      <c r="D83" t="s">
        <v>349</v>
      </c>
      <c r="E83" s="1">
        <v>1</v>
      </c>
      <c r="F83" t="str">
        <f>CONCATENATE(Tabla2[[#This Row],[name_club2]],"_",Tabla2[[#This Row],[npartido]])</f>
        <v>UCV AQP_1</v>
      </c>
      <c r="G83" s="4" t="s">
        <v>350</v>
      </c>
      <c r="H83" t="s">
        <v>17</v>
      </c>
      <c r="I83" t="s">
        <v>345</v>
      </c>
      <c r="J83" t="s">
        <v>346</v>
      </c>
      <c r="K83" t="s">
        <v>347</v>
      </c>
      <c r="L83" t="s">
        <v>348</v>
      </c>
      <c r="M83" t="s">
        <v>18</v>
      </c>
      <c r="P83" t="s">
        <v>187</v>
      </c>
      <c r="R83" t="s">
        <v>89</v>
      </c>
      <c r="S83" t="s">
        <v>20</v>
      </c>
    </row>
    <row r="84" spans="1:19" x14ac:dyDescent="0.25">
      <c r="A84" t="str">
        <f>CONCATENATE(Tabla2[[#This Row],[name_club1]]," vs ",Tabla2[[#This Row],[match_filter]])</f>
        <v>ACARSUR vs MANCHEGO TALENTS_4</v>
      </c>
      <c r="B84" t="s">
        <v>559</v>
      </c>
      <c r="C84" t="s">
        <v>92</v>
      </c>
      <c r="D84" t="s">
        <v>560</v>
      </c>
      <c r="E84" s="1">
        <v>4</v>
      </c>
      <c r="F84" t="str">
        <f>CONCATENATE(Tabla2[[#This Row],[name_club2]],"_",Tabla2[[#This Row],[npartido]])</f>
        <v>MANCHEGO TALENTS_4</v>
      </c>
      <c r="G84" s="5" t="s">
        <v>558</v>
      </c>
      <c r="H84" s="6" t="s">
        <v>29</v>
      </c>
      <c r="I84" t="s">
        <v>351</v>
      </c>
      <c r="J84" t="s">
        <v>352</v>
      </c>
      <c r="K84" t="s">
        <v>353</v>
      </c>
      <c r="L84" t="s">
        <v>354</v>
      </c>
      <c r="M84" s="6" t="s">
        <v>18</v>
      </c>
      <c r="P84" t="s">
        <v>561</v>
      </c>
      <c r="R84" t="s">
        <v>19</v>
      </c>
      <c r="S84" t="s">
        <v>90</v>
      </c>
    </row>
    <row r="85" spans="1:19" x14ac:dyDescent="0.25">
      <c r="A85" t="str">
        <f>CONCATENATE(Tabla2[[#This Row],[name_club1]]," vs ",Tabla2[[#This Row],[match_filter]])</f>
        <v>ACARSUR vs MANCHEGO TALENTS_4</v>
      </c>
      <c r="B85" t="s">
        <v>559</v>
      </c>
      <c r="C85" t="s">
        <v>92</v>
      </c>
      <c r="D85" t="s">
        <v>560</v>
      </c>
      <c r="E85" s="1">
        <v>4</v>
      </c>
      <c r="F85" t="str">
        <f>CONCATENATE(Tabla2[[#This Row],[name_club2]],"_",Tabla2[[#This Row],[npartido]])</f>
        <v>MANCHEGO TALENTS_4</v>
      </c>
      <c r="G85" s="5" t="s">
        <v>558</v>
      </c>
      <c r="H85" t="s">
        <v>17</v>
      </c>
      <c r="I85" t="s">
        <v>562</v>
      </c>
      <c r="J85" t="s">
        <v>563</v>
      </c>
      <c r="K85" t="s">
        <v>564</v>
      </c>
      <c r="L85" t="s">
        <v>565</v>
      </c>
      <c r="M85" t="s">
        <v>18</v>
      </c>
      <c r="P85" t="s">
        <v>566</v>
      </c>
      <c r="R85" t="s">
        <v>19</v>
      </c>
      <c r="S85" t="s">
        <v>90</v>
      </c>
    </row>
    <row r="86" spans="1:19" x14ac:dyDescent="0.25">
      <c r="A86" t="str">
        <f>CONCATENATE(Tabla2[[#This Row],[name_club1]]," vs ",Tabla2[[#This Row],[match_filter]])</f>
        <v>ACARSUR vs MANCHEGO TALENTS_4</v>
      </c>
      <c r="B86" t="s">
        <v>559</v>
      </c>
      <c r="C86" t="s">
        <v>92</v>
      </c>
      <c r="D86" t="s">
        <v>560</v>
      </c>
      <c r="E86" s="1">
        <v>4</v>
      </c>
      <c r="F86" t="str">
        <f>CONCATENATE(Tabla2[[#This Row],[name_club2]],"_",Tabla2[[#This Row],[npartido]])</f>
        <v>MANCHEGO TALENTS_4</v>
      </c>
      <c r="G86" s="5" t="s">
        <v>558</v>
      </c>
      <c r="H86" t="s">
        <v>567</v>
      </c>
      <c r="I86" t="s">
        <v>568</v>
      </c>
      <c r="J86" t="s">
        <v>196</v>
      </c>
      <c r="K86" t="s">
        <v>569</v>
      </c>
      <c r="L86" t="s">
        <v>570</v>
      </c>
      <c r="M86" t="s">
        <v>18</v>
      </c>
      <c r="P86" t="s">
        <v>561</v>
      </c>
      <c r="R86" t="s">
        <v>19</v>
      </c>
      <c r="S86" t="s">
        <v>90</v>
      </c>
    </row>
    <row r="87" spans="1:19" x14ac:dyDescent="0.25">
      <c r="A87" t="str">
        <f>CONCATENATE(Tabla2[[#This Row],[name_club1]]," vs ",Tabla2[[#This Row],[match_filter]])</f>
        <v>ACARSUR vs MANCHEGO TALENTS_4</v>
      </c>
      <c r="B87" t="s">
        <v>559</v>
      </c>
      <c r="C87" t="s">
        <v>92</v>
      </c>
      <c r="D87" t="s">
        <v>560</v>
      </c>
      <c r="E87" s="1">
        <v>4</v>
      </c>
      <c r="F87" t="str">
        <f>CONCATENATE(Tabla2[[#This Row],[name_club2]],"_",Tabla2[[#This Row],[npartido]])</f>
        <v>MANCHEGO TALENTS_4</v>
      </c>
      <c r="G87" s="5" t="s">
        <v>558</v>
      </c>
      <c r="H87" t="s">
        <v>355</v>
      </c>
      <c r="I87" t="s">
        <v>356</v>
      </c>
      <c r="J87" t="s">
        <v>357</v>
      </c>
      <c r="K87" t="s">
        <v>358</v>
      </c>
      <c r="L87" t="s">
        <v>359</v>
      </c>
      <c r="M87" t="s">
        <v>18</v>
      </c>
      <c r="P87" t="s">
        <v>561</v>
      </c>
      <c r="R87" t="s">
        <v>19</v>
      </c>
      <c r="S87" t="s">
        <v>90</v>
      </c>
    </row>
    <row r="88" spans="1:19" x14ac:dyDescent="0.25">
      <c r="A88" t="str">
        <f>CONCATENATE(Tabla2[[#This Row],[name_club1]]," vs ",Tabla2[[#This Row],[match_filter]])</f>
        <v>ACARSUR vs MANCHEGO TALENTS_4</v>
      </c>
      <c r="B88" t="s">
        <v>559</v>
      </c>
      <c r="C88" t="s">
        <v>92</v>
      </c>
      <c r="D88" t="s">
        <v>560</v>
      </c>
      <c r="E88" s="1">
        <v>4</v>
      </c>
      <c r="F88" t="str">
        <f>CONCATENATE(Tabla2[[#This Row],[name_club2]],"_",Tabla2[[#This Row],[npartido]])</f>
        <v>MANCHEGO TALENTS_4</v>
      </c>
      <c r="G88" s="5" t="s">
        <v>558</v>
      </c>
      <c r="H88" t="s">
        <v>571</v>
      </c>
      <c r="I88" t="s">
        <v>572</v>
      </c>
      <c r="J88" t="s">
        <v>573</v>
      </c>
      <c r="K88" t="s">
        <v>574</v>
      </c>
      <c r="L88" t="s">
        <v>575</v>
      </c>
      <c r="P88" t="s">
        <v>566</v>
      </c>
      <c r="R88" t="s">
        <v>19</v>
      </c>
      <c r="S88" t="s">
        <v>90</v>
      </c>
    </row>
    <row r="89" spans="1:19" x14ac:dyDescent="0.25">
      <c r="A89" t="str">
        <f>CONCATENATE(Tabla2[[#This Row],[name_club1]]," vs ",Tabla2[[#This Row],[match_filter]])</f>
        <v>ACARSUR vs MANCHEGO TALENTS_4</v>
      </c>
      <c r="B89" t="s">
        <v>559</v>
      </c>
      <c r="C89" t="s">
        <v>92</v>
      </c>
      <c r="D89" t="s">
        <v>560</v>
      </c>
      <c r="E89" s="1">
        <v>4</v>
      </c>
      <c r="F89" t="str">
        <f>CONCATENATE(Tabla2[[#This Row],[name_club2]],"_",Tabla2[[#This Row],[npartido]])</f>
        <v>MANCHEGO TALENTS_4</v>
      </c>
      <c r="G89" s="5" t="s">
        <v>558</v>
      </c>
      <c r="H89" t="s">
        <v>17</v>
      </c>
      <c r="I89" t="s">
        <v>40</v>
      </c>
      <c r="J89" t="s">
        <v>36</v>
      </c>
      <c r="K89" t="s">
        <v>576</v>
      </c>
      <c r="L89" t="s">
        <v>577</v>
      </c>
      <c r="M89" t="s">
        <v>23</v>
      </c>
      <c r="P89" t="s">
        <v>566</v>
      </c>
      <c r="R89" t="s">
        <v>19</v>
      </c>
      <c r="S89" t="s">
        <v>90</v>
      </c>
    </row>
    <row r="90" spans="1:19" x14ac:dyDescent="0.25">
      <c r="A90" t="str">
        <f>CONCATENATE(Tabla2[[#This Row],[name_club1]]," vs ",Tabla2[[#This Row],[match_filter]])</f>
        <v>ACARSUR vs MANCHEGO TALENTS_4</v>
      </c>
      <c r="B90" t="s">
        <v>559</v>
      </c>
      <c r="C90" t="s">
        <v>92</v>
      </c>
      <c r="D90" t="s">
        <v>560</v>
      </c>
      <c r="E90" s="1">
        <v>4</v>
      </c>
      <c r="F90" t="str">
        <f>CONCATENATE(Tabla2[[#This Row],[name_club2]],"_",Tabla2[[#This Row],[npartido]])</f>
        <v>MANCHEGO TALENTS_4</v>
      </c>
      <c r="G90" s="5" t="s">
        <v>558</v>
      </c>
      <c r="H90" t="s">
        <v>17</v>
      </c>
      <c r="I90" t="s">
        <v>578</v>
      </c>
      <c r="J90" t="s">
        <v>579</v>
      </c>
      <c r="K90" t="s">
        <v>580</v>
      </c>
      <c r="L90" t="s">
        <v>581</v>
      </c>
      <c r="M90" t="s">
        <v>18</v>
      </c>
      <c r="P90" t="s">
        <v>566</v>
      </c>
      <c r="R90" t="s">
        <v>19</v>
      </c>
      <c r="S90" t="s">
        <v>90</v>
      </c>
    </row>
    <row r="91" spans="1:19" x14ac:dyDescent="0.25">
      <c r="A91" t="str">
        <f>CONCATENATE(Tabla2[[#This Row],[name_club1]]," vs ",Tabla2[[#This Row],[match_filter]])</f>
        <v>ACARSUR vs MANCHEGO TALENTS_4</v>
      </c>
      <c r="B91" t="s">
        <v>559</v>
      </c>
      <c r="C91" t="s">
        <v>92</v>
      </c>
      <c r="D91" t="s">
        <v>560</v>
      </c>
      <c r="E91" s="1">
        <v>4</v>
      </c>
      <c r="F91" t="str">
        <f>CONCATENATE(Tabla2[[#This Row],[name_club2]],"_",Tabla2[[#This Row],[npartido]])</f>
        <v>MANCHEGO TALENTS_4</v>
      </c>
      <c r="G91" s="5" t="s">
        <v>558</v>
      </c>
      <c r="H91" t="s">
        <v>571</v>
      </c>
      <c r="I91" t="s">
        <v>582</v>
      </c>
      <c r="J91" t="s">
        <v>583</v>
      </c>
      <c r="K91" t="s">
        <v>360</v>
      </c>
      <c r="L91" t="s">
        <v>584</v>
      </c>
      <c r="P91" t="s">
        <v>566</v>
      </c>
      <c r="R91" t="s">
        <v>19</v>
      </c>
      <c r="S91" t="s">
        <v>90</v>
      </c>
    </row>
    <row r="92" spans="1:19" x14ac:dyDescent="0.25">
      <c r="A92" t="str">
        <f>CONCATENATE(Tabla2[[#This Row],[name_club1]]," vs ",Tabla2[[#This Row],[match_filter]])</f>
        <v>ACARSUR vs MANCHEGO TALENTS_4</v>
      </c>
      <c r="B92" t="s">
        <v>559</v>
      </c>
      <c r="C92" t="s">
        <v>92</v>
      </c>
      <c r="D92" t="s">
        <v>560</v>
      </c>
      <c r="E92" s="1">
        <v>4</v>
      </c>
      <c r="F92" t="str">
        <f>CONCATENATE(Tabla2[[#This Row],[name_club2]],"_",Tabla2[[#This Row],[npartido]])</f>
        <v>MANCHEGO TALENTS_4</v>
      </c>
      <c r="G92" s="5" t="s">
        <v>558</v>
      </c>
      <c r="H92" t="s">
        <v>17</v>
      </c>
      <c r="I92" t="s">
        <v>585</v>
      </c>
      <c r="J92" t="s">
        <v>586</v>
      </c>
      <c r="K92" t="s">
        <v>202</v>
      </c>
      <c r="L92" t="s">
        <v>587</v>
      </c>
      <c r="M92" t="s">
        <v>23</v>
      </c>
      <c r="P92" t="s">
        <v>566</v>
      </c>
      <c r="R92" t="s">
        <v>19</v>
      </c>
      <c r="S92" t="s">
        <v>90</v>
      </c>
    </row>
    <row r="93" spans="1:19" x14ac:dyDescent="0.25">
      <c r="A93" t="str">
        <f>CONCATENATE(Tabla2[[#This Row],[name_club1]]," vs ",Tabla2[[#This Row],[match_filter]])</f>
        <v>ACARSUR vs MANCHEGO TALENTS_4</v>
      </c>
      <c r="B93" t="s">
        <v>559</v>
      </c>
      <c r="C93" t="s">
        <v>92</v>
      </c>
      <c r="D93" t="s">
        <v>560</v>
      </c>
      <c r="E93" s="1">
        <v>4</v>
      </c>
      <c r="F93" t="str">
        <f>CONCATENATE(Tabla2[[#This Row],[name_club2]],"_",Tabla2[[#This Row],[npartido]])</f>
        <v>MANCHEGO TALENTS_4</v>
      </c>
      <c r="G93" s="5" t="s">
        <v>558</v>
      </c>
      <c r="H93" t="s">
        <v>355</v>
      </c>
      <c r="I93" t="s">
        <v>360</v>
      </c>
      <c r="J93" t="s">
        <v>361</v>
      </c>
      <c r="K93" t="s">
        <v>362</v>
      </c>
      <c r="L93" t="s">
        <v>363</v>
      </c>
      <c r="M93" t="s">
        <v>18</v>
      </c>
      <c r="P93" t="s">
        <v>561</v>
      </c>
      <c r="R93" t="s">
        <v>19</v>
      </c>
      <c r="S93" t="s">
        <v>90</v>
      </c>
    </row>
    <row r="94" spans="1:19" x14ac:dyDescent="0.25">
      <c r="A94" t="str">
        <f>CONCATENATE(Tabla2[[#This Row],[name_club1]]," vs ",Tabla2[[#This Row],[match_filter]])</f>
        <v>ACARSUR vs MANCHEGO TALENTS_4</v>
      </c>
      <c r="B94" t="s">
        <v>559</v>
      </c>
      <c r="C94" t="s">
        <v>92</v>
      </c>
      <c r="D94" t="s">
        <v>560</v>
      </c>
      <c r="E94" s="1">
        <v>4</v>
      </c>
      <c r="F94" t="str">
        <f>CONCATENATE(Tabla2[[#This Row],[name_club2]],"_",Tabla2[[#This Row],[npartido]])</f>
        <v>MANCHEGO TALENTS_4</v>
      </c>
      <c r="G94" s="5" t="s">
        <v>558</v>
      </c>
      <c r="H94" s="6" t="s">
        <v>24</v>
      </c>
      <c r="I94" t="s">
        <v>364</v>
      </c>
      <c r="J94" t="s">
        <v>365</v>
      </c>
      <c r="K94" t="s">
        <v>366</v>
      </c>
      <c r="L94" t="s">
        <v>367</v>
      </c>
      <c r="M94" s="6" t="s">
        <v>18</v>
      </c>
      <c r="P94" t="s">
        <v>561</v>
      </c>
      <c r="R94" t="s">
        <v>19</v>
      </c>
      <c r="S94" t="s">
        <v>90</v>
      </c>
    </row>
    <row r="95" spans="1:19" x14ac:dyDescent="0.25">
      <c r="A95" t="str">
        <f>CONCATENATE(Tabla2[[#This Row],[name_club1]]," vs ",Tabla2[[#This Row],[match_filter]])</f>
        <v>ACARSUR vs MANCHEGO TALENTS_4</v>
      </c>
      <c r="B95" t="s">
        <v>559</v>
      </c>
      <c r="C95" t="s">
        <v>92</v>
      </c>
      <c r="D95" t="s">
        <v>560</v>
      </c>
      <c r="E95" s="1">
        <v>4</v>
      </c>
      <c r="F95" t="str">
        <f>CONCATENATE(Tabla2[[#This Row],[name_club2]],"_",Tabla2[[#This Row],[npartido]])</f>
        <v>MANCHEGO TALENTS_4</v>
      </c>
      <c r="G95" s="5" t="s">
        <v>558</v>
      </c>
      <c r="H95" t="s">
        <v>17</v>
      </c>
      <c r="I95" t="s">
        <v>368</v>
      </c>
      <c r="J95" t="s">
        <v>366</v>
      </c>
      <c r="K95" t="s">
        <v>369</v>
      </c>
      <c r="L95" t="s">
        <v>370</v>
      </c>
      <c r="M95" t="s">
        <v>18</v>
      </c>
      <c r="P95" t="s">
        <v>561</v>
      </c>
      <c r="R95" t="s">
        <v>19</v>
      </c>
      <c r="S95" t="s">
        <v>90</v>
      </c>
    </row>
    <row r="96" spans="1:19" x14ac:dyDescent="0.25">
      <c r="A96" t="str">
        <f>CONCATENATE(Tabla2[[#This Row],[name_club1]]," vs ",Tabla2[[#This Row],[match_filter]])</f>
        <v>ACARSUR vs MANCHEGO TALENTS_4</v>
      </c>
      <c r="B96" t="s">
        <v>559</v>
      </c>
      <c r="C96" t="s">
        <v>92</v>
      </c>
      <c r="D96" t="s">
        <v>560</v>
      </c>
      <c r="E96" s="1">
        <v>4</v>
      </c>
      <c r="F96" t="str">
        <f>CONCATENATE(Tabla2[[#This Row],[name_club2]],"_",Tabla2[[#This Row],[npartido]])</f>
        <v>MANCHEGO TALENTS_4</v>
      </c>
      <c r="G96" s="5" t="s">
        <v>558</v>
      </c>
      <c r="H96" s="6" t="s">
        <v>29</v>
      </c>
      <c r="I96" t="s">
        <v>371</v>
      </c>
      <c r="J96" t="s">
        <v>372</v>
      </c>
      <c r="K96" t="s">
        <v>373</v>
      </c>
      <c r="L96" t="s">
        <v>374</v>
      </c>
      <c r="M96" s="6" t="s">
        <v>18</v>
      </c>
      <c r="P96" t="s">
        <v>561</v>
      </c>
      <c r="R96" t="s">
        <v>19</v>
      </c>
      <c r="S96" t="s">
        <v>90</v>
      </c>
    </row>
    <row r="97" spans="1:19" x14ac:dyDescent="0.25">
      <c r="A97" t="str">
        <f>CONCATENATE(Tabla2[[#This Row],[name_club1]]," vs ",Tabla2[[#This Row],[match_filter]])</f>
        <v>ACARSUR vs MANCHEGO TALENTS_4</v>
      </c>
      <c r="B97" t="s">
        <v>559</v>
      </c>
      <c r="C97" t="s">
        <v>92</v>
      </c>
      <c r="D97" t="s">
        <v>560</v>
      </c>
      <c r="E97" s="1">
        <v>4</v>
      </c>
      <c r="F97" t="str">
        <f>CONCATENATE(Tabla2[[#This Row],[name_club2]],"_",Tabla2[[#This Row],[npartido]])</f>
        <v>MANCHEGO TALENTS_4</v>
      </c>
      <c r="G97" s="5" t="s">
        <v>558</v>
      </c>
      <c r="H97" t="s">
        <v>17</v>
      </c>
      <c r="I97" t="s">
        <v>375</v>
      </c>
      <c r="J97" t="s">
        <v>376</v>
      </c>
      <c r="K97" t="s">
        <v>377</v>
      </c>
      <c r="L97" t="s">
        <v>378</v>
      </c>
      <c r="M97" t="s">
        <v>23</v>
      </c>
      <c r="P97" t="s">
        <v>561</v>
      </c>
      <c r="R97" t="s">
        <v>19</v>
      </c>
      <c r="S97" t="s">
        <v>90</v>
      </c>
    </row>
    <row r="98" spans="1:19" x14ac:dyDescent="0.25">
      <c r="A98" t="str">
        <f>CONCATENATE(Tabla2[[#This Row],[name_club1]]," vs ",Tabla2[[#This Row],[match_filter]])</f>
        <v>ACARSUR vs MANCHEGO TALENTS_4</v>
      </c>
      <c r="B98" t="s">
        <v>559</v>
      </c>
      <c r="C98" t="s">
        <v>92</v>
      </c>
      <c r="D98" t="s">
        <v>560</v>
      </c>
      <c r="E98" s="1">
        <v>4</v>
      </c>
      <c r="F98" t="str">
        <f>CONCATENATE(Tabla2[[#This Row],[name_club2]],"_",Tabla2[[#This Row],[npartido]])</f>
        <v>MANCHEGO TALENTS_4</v>
      </c>
      <c r="G98" s="5" t="s">
        <v>558</v>
      </c>
      <c r="H98" t="s">
        <v>17</v>
      </c>
      <c r="I98" t="s">
        <v>379</v>
      </c>
      <c r="J98" t="s">
        <v>380</v>
      </c>
      <c r="K98" t="s">
        <v>381</v>
      </c>
      <c r="L98" t="s">
        <v>382</v>
      </c>
      <c r="M98" t="s">
        <v>23</v>
      </c>
      <c r="P98" t="s">
        <v>561</v>
      </c>
      <c r="R98" t="s">
        <v>19</v>
      </c>
      <c r="S98" t="s">
        <v>90</v>
      </c>
    </row>
    <row r="99" spans="1:19" x14ac:dyDescent="0.25">
      <c r="A99" t="str">
        <f>CONCATENATE(Tabla2[[#This Row],[name_club1]]," vs ",Tabla2[[#This Row],[match_filter]])</f>
        <v>ACARSUR vs MANCHEGO TALENTS_4</v>
      </c>
      <c r="B99" t="s">
        <v>559</v>
      </c>
      <c r="C99" t="s">
        <v>92</v>
      </c>
      <c r="D99" t="s">
        <v>560</v>
      </c>
      <c r="E99" s="1">
        <v>4</v>
      </c>
      <c r="F99" t="str">
        <f>CONCATENATE(Tabla2[[#This Row],[name_club2]],"_",Tabla2[[#This Row],[npartido]])</f>
        <v>MANCHEGO TALENTS_4</v>
      </c>
      <c r="G99" s="5" t="s">
        <v>558</v>
      </c>
      <c r="H99" t="s">
        <v>355</v>
      </c>
      <c r="I99" t="s">
        <v>383</v>
      </c>
      <c r="J99" t="s">
        <v>384</v>
      </c>
      <c r="K99" t="s">
        <v>385</v>
      </c>
      <c r="L99" t="s">
        <v>386</v>
      </c>
      <c r="M99" t="s">
        <v>23</v>
      </c>
      <c r="P99" t="s">
        <v>561</v>
      </c>
      <c r="R99" t="s">
        <v>19</v>
      </c>
      <c r="S99" t="s">
        <v>90</v>
      </c>
    </row>
    <row r="100" spans="1:19" x14ac:dyDescent="0.25">
      <c r="A100" t="str">
        <f>CONCATENATE(Tabla2[[#This Row],[name_club1]]," vs ",Tabla2[[#This Row],[match_filter]])</f>
        <v>ACARSUR vs MANCHEGO TALENTS_4</v>
      </c>
      <c r="B100" t="s">
        <v>559</v>
      </c>
      <c r="C100" t="s">
        <v>92</v>
      </c>
      <c r="D100" t="s">
        <v>560</v>
      </c>
      <c r="E100" s="1">
        <v>4</v>
      </c>
      <c r="F100" t="str">
        <f>CONCATENATE(Tabla2[[#This Row],[name_club2]],"_",Tabla2[[#This Row],[npartido]])</f>
        <v>MANCHEGO TALENTS_4</v>
      </c>
      <c r="G100" s="5" t="s">
        <v>558</v>
      </c>
      <c r="H100" t="s">
        <v>26</v>
      </c>
      <c r="I100" t="s">
        <v>387</v>
      </c>
      <c r="J100" t="s">
        <v>388</v>
      </c>
      <c r="K100" t="s">
        <v>389</v>
      </c>
      <c r="L100" t="s">
        <v>390</v>
      </c>
      <c r="P100" t="s">
        <v>561</v>
      </c>
      <c r="R100" t="s">
        <v>19</v>
      </c>
      <c r="S100" t="s">
        <v>90</v>
      </c>
    </row>
    <row r="101" spans="1:19" x14ac:dyDescent="0.25">
      <c r="A101" t="str">
        <f>CONCATENATE(Tabla2[[#This Row],[name_club1]]," vs ",Tabla2[[#This Row],[match_filter]])</f>
        <v>ACARSUR vs MANCHEGO TALENTS_4</v>
      </c>
      <c r="B101" t="s">
        <v>559</v>
      </c>
      <c r="C101" t="s">
        <v>92</v>
      </c>
      <c r="D101" t="s">
        <v>560</v>
      </c>
      <c r="E101" s="1">
        <v>4</v>
      </c>
      <c r="F101" t="str">
        <f>CONCATENATE(Tabla2[[#This Row],[name_club2]],"_",Tabla2[[#This Row],[npartido]])</f>
        <v>MANCHEGO TALENTS_4</v>
      </c>
      <c r="G101" s="5" t="s">
        <v>558</v>
      </c>
      <c r="H101" t="s">
        <v>17</v>
      </c>
      <c r="I101" t="s">
        <v>588</v>
      </c>
      <c r="J101" t="s">
        <v>589</v>
      </c>
      <c r="K101" t="s">
        <v>233</v>
      </c>
      <c r="L101" t="s">
        <v>590</v>
      </c>
      <c r="M101" t="s">
        <v>18</v>
      </c>
      <c r="P101" t="s">
        <v>566</v>
      </c>
      <c r="R101" t="s">
        <v>19</v>
      </c>
      <c r="S101" t="s">
        <v>90</v>
      </c>
    </row>
    <row r="102" spans="1:19" x14ac:dyDescent="0.25">
      <c r="A102" t="str">
        <f>CONCATENATE(Tabla2[[#This Row],[name_club1]]," vs ",Tabla2[[#This Row],[match_filter]])</f>
        <v>ACARSUR vs MANCHEGO TALENTS_4</v>
      </c>
      <c r="B102" t="s">
        <v>559</v>
      </c>
      <c r="C102" t="s">
        <v>92</v>
      </c>
      <c r="D102" t="s">
        <v>560</v>
      </c>
      <c r="E102" s="1">
        <v>4</v>
      </c>
      <c r="F102" t="str">
        <f>CONCATENATE(Tabla2[[#This Row],[name_club2]],"_",Tabla2[[#This Row],[npartido]])</f>
        <v>MANCHEGO TALENTS_4</v>
      </c>
      <c r="G102" s="5" t="s">
        <v>558</v>
      </c>
      <c r="H102" t="s">
        <v>26</v>
      </c>
      <c r="I102" t="s">
        <v>391</v>
      </c>
      <c r="J102" t="s">
        <v>392</v>
      </c>
      <c r="K102" t="s">
        <v>393</v>
      </c>
      <c r="L102" t="s">
        <v>394</v>
      </c>
      <c r="M102" t="s">
        <v>18</v>
      </c>
      <c r="P102" t="s">
        <v>561</v>
      </c>
      <c r="R102" t="s">
        <v>19</v>
      </c>
      <c r="S102" t="s">
        <v>90</v>
      </c>
    </row>
    <row r="103" spans="1:19" x14ac:dyDescent="0.25">
      <c r="A103" t="str">
        <f>CONCATENATE(Tabla2[[#This Row],[name_club1]]," vs ",Tabla2[[#This Row],[match_filter]])</f>
        <v>ACARSUR vs MANCHEGO TALENTS_4</v>
      </c>
      <c r="B103" t="s">
        <v>559</v>
      </c>
      <c r="C103" t="s">
        <v>92</v>
      </c>
      <c r="D103" t="s">
        <v>560</v>
      </c>
      <c r="E103" s="1">
        <v>4</v>
      </c>
      <c r="F103" t="str">
        <f>CONCATENATE(Tabla2[[#This Row],[name_club2]],"_",Tabla2[[#This Row],[npartido]])</f>
        <v>MANCHEGO TALENTS_4</v>
      </c>
      <c r="G103" s="5" t="s">
        <v>558</v>
      </c>
      <c r="H103" t="s">
        <v>17</v>
      </c>
      <c r="I103" t="s">
        <v>591</v>
      </c>
      <c r="J103" t="s">
        <v>592</v>
      </c>
      <c r="K103" t="s">
        <v>593</v>
      </c>
      <c r="L103" t="s">
        <v>594</v>
      </c>
      <c r="M103" t="s">
        <v>18</v>
      </c>
      <c r="P103" t="s">
        <v>566</v>
      </c>
      <c r="R103" t="s">
        <v>19</v>
      </c>
      <c r="S103" t="s">
        <v>90</v>
      </c>
    </row>
    <row r="104" spans="1:19" x14ac:dyDescent="0.25">
      <c r="A104" t="str">
        <f>CONCATENATE(Tabla2[[#This Row],[name_club1]]," vs ",Tabla2[[#This Row],[match_filter]])</f>
        <v>ACARSUR vs MANCHEGO TALENTS_4</v>
      </c>
      <c r="B104" t="s">
        <v>559</v>
      </c>
      <c r="C104" t="s">
        <v>92</v>
      </c>
      <c r="D104" t="s">
        <v>560</v>
      </c>
      <c r="E104" s="1">
        <v>4</v>
      </c>
      <c r="F104" t="str">
        <f>CONCATENATE(Tabla2[[#This Row],[name_club2]],"_",Tabla2[[#This Row],[npartido]])</f>
        <v>MANCHEGO TALENTS_4</v>
      </c>
      <c r="G104" s="5" t="s">
        <v>558</v>
      </c>
      <c r="H104" t="s">
        <v>24</v>
      </c>
      <c r="I104" t="s">
        <v>395</v>
      </c>
      <c r="J104" t="s">
        <v>396</v>
      </c>
      <c r="K104" t="s">
        <v>397</v>
      </c>
      <c r="L104" t="s">
        <v>398</v>
      </c>
      <c r="M104" t="s">
        <v>23</v>
      </c>
      <c r="P104" t="s">
        <v>561</v>
      </c>
      <c r="R104" t="s">
        <v>19</v>
      </c>
      <c r="S104" t="s">
        <v>90</v>
      </c>
    </row>
    <row r="105" spans="1:19" x14ac:dyDescent="0.25">
      <c r="A105" t="str">
        <f>CONCATENATE(Tabla2[[#This Row],[name_club1]]," vs ",Tabla2[[#This Row],[match_filter]])</f>
        <v>ACARSUR vs MANCHEGO TALENTS_4</v>
      </c>
      <c r="B105" t="s">
        <v>559</v>
      </c>
      <c r="C105" t="s">
        <v>92</v>
      </c>
      <c r="D105" t="s">
        <v>560</v>
      </c>
      <c r="E105" s="1">
        <v>4</v>
      </c>
      <c r="F105" t="str">
        <f>CONCATENATE(Tabla2[[#This Row],[name_club2]],"_",Tabla2[[#This Row],[npartido]])</f>
        <v>MANCHEGO TALENTS_4</v>
      </c>
      <c r="G105" s="5" t="s">
        <v>558</v>
      </c>
      <c r="H105" t="s">
        <v>17</v>
      </c>
      <c r="I105" t="s">
        <v>399</v>
      </c>
      <c r="J105" t="s">
        <v>241</v>
      </c>
      <c r="K105" t="s">
        <v>242</v>
      </c>
      <c r="L105" t="s">
        <v>400</v>
      </c>
      <c r="M105" t="s">
        <v>18</v>
      </c>
      <c r="P105" t="s">
        <v>561</v>
      </c>
      <c r="R105" t="s">
        <v>19</v>
      </c>
      <c r="S105" t="s">
        <v>90</v>
      </c>
    </row>
    <row r="106" spans="1:19" x14ac:dyDescent="0.25">
      <c r="A106" t="str">
        <f>CONCATENATE(Tabla2[[#This Row],[name_club1]]," vs ",Tabla2[[#This Row],[match_filter]])</f>
        <v>ACARSUR vs MANCHEGO TALENTS_4</v>
      </c>
      <c r="B106" t="s">
        <v>559</v>
      </c>
      <c r="C106" t="s">
        <v>92</v>
      </c>
      <c r="D106" t="s">
        <v>560</v>
      </c>
      <c r="E106" s="1">
        <v>4</v>
      </c>
      <c r="F106" t="str">
        <f>CONCATENATE(Tabla2[[#This Row],[name_club2]],"_",Tabla2[[#This Row],[npartido]])</f>
        <v>MANCHEGO TALENTS_4</v>
      </c>
      <c r="G106" s="5" t="s">
        <v>558</v>
      </c>
      <c r="H106" t="s">
        <v>17</v>
      </c>
      <c r="I106" t="s">
        <v>401</v>
      </c>
      <c r="J106" t="s">
        <v>402</v>
      </c>
      <c r="K106" t="s">
        <v>403</v>
      </c>
      <c r="L106" t="s">
        <v>404</v>
      </c>
      <c r="M106" t="s">
        <v>18</v>
      </c>
      <c r="P106" t="s">
        <v>561</v>
      </c>
      <c r="R106" t="s">
        <v>19</v>
      </c>
      <c r="S106" t="s">
        <v>90</v>
      </c>
    </row>
    <row r="107" spans="1:19" x14ac:dyDescent="0.25">
      <c r="A107" t="str">
        <f>CONCATENATE(Tabla2[[#This Row],[name_club1]]," vs ",Tabla2[[#This Row],[match_filter]])</f>
        <v>ACARSUR vs MANCHEGO TALENTS_4</v>
      </c>
      <c r="B107" t="s">
        <v>559</v>
      </c>
      <c r="C107" t="s">
        <v>92</v>
      </c>
      <c r="D107" t="s">
        <v>560</v>
      </c>
      <c r="E107" s="1">
        <v>4</v>
      </c>
      <c r="F107" t="str">
        <f>CONCATENATE(Tabla2[[#This Row],[name_club2]],"_",Tabla2[[#This Row],[npartido]])</f>
        <v>MANCHEGO TALENTS_4</v>
      </c>
      <c r="G107" s="5" t="s">
        <v>558</v>
      </c>
      <c r="H107" t="s">
        <v>17</v>
      </c>
      <c r="I107" t="s">
        <v>595</v>
      </c>
      <c r="J107" t="s">
        <v>596</v>
      </c>
      <c r="K107" t="s">
        <v>597</v>
      </c>
      <c r="L107" t="s">
        <v>598</v>
      </c>
      <c r="M107" t="s">
        <v>18</v>
      </c>
      <c r="P107" t="s">
        <v>566</v>
      </c>
      <c r="R107" t="s">
        <v>19</v>
      </c>
      <c r="S107" t="s">
        <v>90</v>
      </c>
    </row>
    <row r="108" spans="1:19" x14ac:dyDescent="0.25">
      <c r="A108" t="str">
        <f>CONCATENATE(Tabla2[[#This Row],[name_club1]]," vs ",Tabla2[[#This Row],[match_filter]])</f>
        <v>ACARSUR vs MANCHEGO TALENTS_4</v>
      </c>
      <c r="B108" t="s">
        <v>559</v>
      </c>
      <c r="C108" t="s">
        <v>92</v>
      </c>
      <c r="D108" t="s">
        <v>560</v>
      </c>
      <c r="E108" s="1">
        <v>4</v>
      </c>
      <c r="F108" t="str">
        <f>CONCATENATE(Tabla2[[#This Row],[name_club2]],"_",Tabla2[[#This Row],[npartido]])</f>
        <v>MANCHEGO TALENTS_4</v>
      </c>
      <c r="G108" s="5" t="s">
        <v>558</v>
      </c>
      <c r="H108" t="s">
        <v>17</v>
      </c>
      <c r="I108" t="s">
        <v>599</v>
      </c>
      <c r="J108" t="s">
        <v>600</v>
      </c>
      <c r="K108" t="s">
        <v>601</v>
      </c>
      <c r="L108" t="s">
        <v>602</v>
      </c>
      <c r="M108" t="s">
        <v>23</v>
      </c>
      <c r="P108" t="s">
        <v>566</v>
      </c>
      <c r="R108" t="s">
        <v>19</v>
      </c>
      <c r="S108" t="s">
        <v>90</v>
      </c>
    </row>
    <row r="109" spans="1:19" x14ac:dyDescent="0.25">
      <c r="A109" t="str">
        <f>CONCATENATE(Tabla2[[#This Row],[name_club1]]," vs ",Tabla2[[#This Row],[match_filter]])</f>
        <v>ACARSUR vs MANCHEGO TALENTS_4</v>
      </c>
      <c r="B109" t="s">
        <v>559</v>
      </c>
      <c r="C109" t="s">
        <v>92</v>
      </c>
      <c r="D109" t="s">
        <v>560</v>
      </c>
      <c r="E109" s="1">
        <v>4</v>
      </c>
      <c r="F109" t="str">
        <f>CONCATENATE(Tabla2[[#This Row],[name_club2]],"_",Tabla2[[#This Row],[npartido]])</f>
        <v>MANCHEGO TALENTS_4</v>
      </c>
      <c r="G109" s="5" t="s">
        <v>558</v>
      </c>
      <c r="H109" t="s">
        <v>24</v>
      </c>
      <c r="I109" t="s">
        <v>405</v>
      </c>
      <c r="J109" t="s">
        <v>406</v>
      </c>
      <c r="K109" t="s">
        <v>407</v>
      </c>
      <c r="L109" t="s">
        <v>408</v>
      </c>
      <c r="M109" t="s">
        <v>23</v>
      </c>
      <c r="P109" t="s">
        <v>561</v>
      </c>
      <c r="R109" t="s">
        <v>19</v>
      </c>
      <c r="S109" t="s">
        <v>90</v>
      </c>
    </row>
    <row r="110" spans="1:19" x14ac:dyDescent="0.25">
      <c r="A110" t="str">
        <f>CONCATENATE(Tabla2[[#This Row],[name_club1]]," vs ",Tabla2[[#This Row],[match_filter]])</f>
        <v>ACARSUR vs MANCHEGO TALENTS_4</v>
      </c>
      <c r="B110" t="s">
        <v>559</v>
      </c>
      <c r="C110" t="s">
        <v>92</v>
      </c>
      <c r="D110" t="s">
        <v>560</v>
      </c>
      <c r="E110" s="1">
        <v>4</v>
      </c>
      <c r="F110" t="str">
        <f>CONCATENATE(Tabla2[[#This Row],[name_club2]],"_",Tabla2[[#This Row],[npartido]])</f>
        <v>MANCHEGO TALENTS_4</v>
      </c>
      <c r="G110" s="5" t="s">
        <v>558</v>
      </c>
      <c r="H110" t="s">
        <v>17</v>
      </c>
      <c r="I110" t="s">
        <v>409</v>
      </c>
      <c r="J110" t="s">
        <v>410</v>
      </c>
      <c r="K110" t="s">
        <v>411</v>
      </c>
      <c r="L110" t="s">
        <v>412</v>
      </c>
      <c r="M110" t="s">
        <v>18</v>
      </c>
      <c r="P110" t="s">
        <v>561</v>
      </c>
      <c r="R110" t="s">
        <v>19</v>
      </c>
      <c r="S110" t="s">
        <v>90</v>
      </c>
    </row>
    <row r="111" spans="1:19" x14ac:dyDescent="0.25">
      <c r="A111" t="str">
        <f>CONCATENATE(Tabla2[[#This Row],[name_club1]]," vs ",Tabla2[[#This Row],[match_filter]])</f>
        <v>ACARSUR vs MANCHEGO TALENTS_4</v>
      </c>
      <c r="B111" t="s">
        <v>559</v>
      </c>
      <c r="C111" t="s">
        <v>92</v>
      </c>
      <c r="D111" t="s">
        <v>560</v>
      </c>
      <c r="E111" s="1">
        <v>4</v>
      </c>
      <c r="F111" t="str">
        <f>CONCATENATE(Tabla2[[#This Row],[name_club2]],"_",Tabla2[[#This Row],[npartido]])</f>
        <v>MANCHEGO TALENTS_4</v>
      </c>
      <c r="G111" s="5" t="s">
        <v>558</v>
      </c>
      <c r="H111" s="6" t="s">
        <v>29</v>
      </c>
      <c r="I111" t="s">
        <v>413</v>
      </c>
      <c r="J111" t="s">
        <v>414</v>
      </c>
      <c r="K111" t="s">
        <v>415</v>
      </c>
      <c r="L111" t="s">
        <v>416</v>
      </c>
      <c r="M111" s="6" t="s">
        <v>18</v>
      </c>
      <c r="P111" t="s">
        <v>561</v>
      </c>
      <c r="R111" t="s">
        <v>19</v>
      </c>
      <c r="S111" t="s">
        <v>90</v>
      </c>
    </row>
    <row r="112" spans="1:19" x14ac:dyDescent="0.25">
      <c r="A112" t="str">
        <f>CONCATENATE(Tabla2[[#This Row],[name_club1]]," vs ",Tabla2[[#This Row],[match_filter]])</f>
        <v>ACARSUR vs MANCHEGO TALENTS_4</v>
      </c>
      <c r="B112" t="s">
        <v>559</v>
      </c>
      <c r="C112" t="s">
        <v>92</v>
      </c>
      <c r="D112" t="s">
        <v>560</v>
      </c>
      <c r="E112" s="1">
        <v>4</v>
      </c>
      <c r="F112" t="str">
        <f>CONCATENATE(Tabla2[[#This Row],[name_club2]],"_",Tabla2[[#This Row],[npartido]])</f>
        <v>MANCHEGO TALENTS_4</v>
      </c>
      <c r="G112" s="5" t="s">
        <v>558</v>
      </c>
      <c r="H112" t="s">
        <v>26</v>
      </c>
      <c r="I112" t="s">
        <v>417</v>
      </c>
      <c r="J112" t="s">
        <v>418</v>
      </c>
      <c r="K112" t="s">
        <v>415</v>
      </c>
      <c r="L112" t="s">
        <v>419</v>
      </c>
      <c r="P112" t="s">
        <v>561</v>
      </c>
      <c r="R112" t="s">
        <v>19</v>
      </c>
      <c r="S112" t="s">
        <v>90</v>
      </c>
    </row>
    <row r="113" spans="1:19" x14ac:dyDescent="0.25">
      <c r="A113" t="str">
        <f>CONCATENATE(Tabla2[[#This Row],[name_club1]]," vs ",Tabla2[[#This Row],[match_filter]])</f>
        <v>ACARSUR vs MANCHEGO TALENTS_4</v>
      </c>
      <c r="B113" t="s">
        <v>559</v>
      </c>
      <c r="C113" t="s">
        <v>92</v>
      </c>
      <c r="D113" t="s">
        <v>560</v>
      </c>
      <c r="E113" s="1">
        <v>4</v>
      </c>
      <c r="F113" t="str">
        <f>CONCATENATE(Tabla2[[#This Row],[name_club2]],"_",Tabla2[[#This Row],[npartido]])</f>
        <v>MANCHEGO TALENTS_4</v>
      </c>
      <c r="G113" s="5" t="s">
        <v>558</v>
      </c>
      <c r="H113" t="s">
        <v>571</v>
      </c>
      <c r="I113" t="s">
        <v>415</v>
      </c>
      <c r="J113" t="s">
        <v>603</v>
      </c>
      <c r="K113" t="s">
        <v>604</v>
      </c>
      <c r="L113" t="s">
        <v>605</v>
      </c>
      <c r="P113" t="s">
        <v>566</v>
      </c>
      <c r="R113" t="s">
        <v>19</v>
      </c>
      <c r="S113" t="s">
        <v>90</v>
      </c>
    </row>
    <row r="114" spans="1:19" x14ac:dyDescent="0.25">
      <c r="A114" t="str">
        <f>CONCATENATE(Tabla2[[#This Row],[name_club1]]," vs ",Tabla2[[#This Row],[match_filter]])</f>
        <v>ACARSUR vs MANCHEGO TALENTS_4</v>
      </c>
      <c r="B114" t="s">
        <v>559</v>
      </c>
      <c r="C114" t="s">
        <v>92</v>
      </c>
      <c r="D114" t="s">
        <v>560</v>
      </c>
      <c r="E114" s="1">
        <v>4</v>
      </c>
      <c r="F114" t="str">
        <f>CONCATENATE(Tabla2[[#This Row],[name_club2]],"_",Tabla2[[#This Row],[npartido]])</f>
        <v>MANCHEGO TALENTS_4</v>
      </c>
      <c r="G114" s="5" t="s">
        <v>558</v>
      </c>
      <c r="H114" t="s">
        <v>17</v>
      </c>
      <c r="I114" t="s">
        <v>606</v>
      </c>
      <c r="J114" t="s">
        <v>607</v>
      </c>
      <c r="K114" t="s">
        <v>608</v>
      </c>
      <c r="L114" t="s">
        <v>609</v>
      </c>
      <c r="M114" t="s">
        <v>18</v>
      </c>
      <c r="P114" t="s">
        <v>566</v>
      </c>
      <c r="R114" t="s">
        <v>19</v>
      </c>
      <c r="S114" t="s">
        <v>90</v>
      </c>
    </row>
    <row r="115" spans="1:19" x14ac:dyDescent="0.25">
      <c r="A115" t="str">
        <f>CONCATENATE(Tabla2[[#This Row],[name_club1]]," vs ",Tabla2[[#This Row],[match_filter]])</f>
        <v>ACARSUR vs MANCHEGO TALENTS_4</v>
      </c>
      <c r="B115" t="s">
        <v>559</v>
      </c>
      <c r="C115" t="s">
        <v>92</v>
      </c>
      <c r="D115" t="s">
        <v>560</v>
      </c>
      <c r="E115" s="1">
        <v>4</v>
      </c>
      <c r="F115" t="str">
        <f>CONCATENATE(Tabla2[[#This Row],[name_club2]],"_",Tabla2[[#This Row],[npartido]])</f>
        <v>MANCHEGO TALENTS_4</v>
      </c>
      <c r="G115" s="5" t="s">
        <v>558</v>
      </c>
      <c r="H115" t="s">
        <v>17</v>
      </c>
      <c r="I115" t="s">
        <v>610</v>
      </c>
      <c r="J115" t="s">
        <v>611</v>
      </c>
      <c r="K115" t="s">
        <v>612</v>
      </c>
      <c r="L115" t="s">
        <v>613</v>
      </c>
      <c r="M115" t="s">
        <v>18</v>
      </c>
      <c r="P115" t="s">
        <v>566</v>
      </c>
      <c r="R115" t="s">
        <v>19</v>
      </c>
      <c r="S115" t="s">
        <v>90</v>
      </c>
    </row>
    <row r="116" spans="1:19" x14ac:dyDescent="0.25">
      <c r="A116" t="str">
        <f>CONCATENATE(Tabla2[[#This Row],[name_club1]]," vs ",Tabla2[[#This Row],[match_filter]])</f>
        <v>ACARSUR vs MANCHEGO TALENTS_4</v>
      </c>
      <c r="B116" t="s">
        <v>559</v>
      </c>
      <c r="C116" t="s">
        <v>92</v>
      </c>
      <c r="D116" t="s">
        <v>560</v>
      </c>
      <c r="E116" s="1">
        <v>4</v>
      </c>
      <c r="F116" t="str">
        <f>CONCATENATE(Tabla2[[#This Row],[name_club2]],"_",Tabla2[[#This Row],[npartido]])</f>
        <v>MANCHEGO TALENTS_4</v>
      </c>
      <c r="G116" s="5" t="s">
        <v>558</v>
      </c>
      <c r="H116" t="s">
        <v>355</v>
      </c>
      <c r="I116" t="s">
        <v>420</v>
      </c>
      <c r="J116" t="s">
        <v>421</v>
      </c>
      <c r="K116" t="s">
        <v>422</v>
      </c>
      <c r="L116" t="s">
        <v>423</v>
      </c>
      <c r="M116" t="s">
        <v>18</v>
      </c>
      <c r="P116" t="s">
        <v>561</v>
      </c>
      <c r="R116" t="s">
        <v>19</v>
      </c>
      <c r="S116" t="s">
        <v>90</v>
      </c>
    </row>
    <row r="117" spans="1:19" x14ac:dyDescent="0.25">
      <c r="A117" t="str">
        <f>CONCATENATE(Tabla2[[#This Row],[name_club1]]," vs ",Tabla2[[#This Row],[match_filter]])</f>
        <v>ACARSUR vs MANCHEGO TALENTS_4</v>
      </c>
      <c r="B117" t="s">
        <v>559</v>
      </c>
      <c r="C117" t="s">
        <v>92</v>
      </c>
      <c r="D117" t="s">
        <v>560</v>
      </c>
      <c r="E117" s="1">
        <v>4</v>
      </c>
      <c r="F117" t="str">
        <f>CONCATENATE(Tabla2[[#This Row],[name_club2]],"_",Tabla2[[#This Row],[npartido]])</f>
        <v>MANCHEGO TALENTS_4</v>
      </c>
      <c r="G117" s="5" t="s">
        <v>558</v>
      </c>
      <c r="H117" t="s">
        <v>424</v>
      </c>
      <c r="I117" t="s">
        <v>425</v>
      </c>
      <c r="J117" t="s">
        <v>426</v>
      </c>
      <c r="K117" t="s">
        <v>427</v>
      </c>
      <c r="L117" t="s">
        <v>428</v>
      </c>
      <c r="P117" t="s">
        <v>561</v>
      </c>
      <c r="R117" t="s">
        <v>19</v>
      </c>
      <c r="S117" t="s">
        <v>90</v>
      </c>
    </row>
    <row r="118" spans="1:19" x14ac:dyDescent="0.25">
      <c r="A118" t="str">
        <f>CONCATENATE(Tabla2[[#This Row],[name_club1]]," vs ",Tabla2[[#This Row],[match_filter]])</f>
        <v>ACARSUR vs MANCHEGO TALENTS_4</v>
      </c>
      <c r="B118" t="s">
        <v>559</v>
      </c>
      <c r="C118" t="s">
        <v>92</v>
      </c>
      <c r="D118" t="s">
        <v>560</v>
      </c>
      <c r="E118" s="1">
        <v>4</v>
      </c>
      <c r="F118" t="str">
        <f>CONCATENATE(Tabla2[[#This Row],[name_club2]],"_",Tabla2[[#This Row],[npartido]])</f>
        <v>MANCHEGO TALENTS_4</v>
      </c>
      <c r="G118" s="5" t="s">
        <v>558</v>
      </c>
      <c r="H118" t="s">
        <v>429</v>
      </c>
      <c r="I118" t="s">
        <v>430</v>
      </c>
      <c r="J118" t="s">
        <v>431</v>
      </c>
      <c r="K118" t="s">
        <v>432</v>
      </c>
      <c r="L118" t="s">
        <v>433</v>
      </c>
      <c r="P118" t="s">
        <v>561</v>
      </c>
      <c r="R118" t="s">
        <v>19</v>
      </c>
      <c r="S118" t="s">
        <v>90</v>
      </c>
    </row>
    <row r="119" spans="1:19" x14ac:dyDescent="0.25">
      <c r="A119" t="str">
        <f>CONCATENATE(Tabla2[[#This Row],[name_club1]]," vs ",Tabla2[[#This Row],[match_filter]])</f>
        <v>ACARSUR vs MANCHEGO TALENTS_4</v>
      </c>
      <c r="B119" t="s">
        <v>559</v>
      </c>
      <c r="C119" t="s">
        <v>92</v>
      </c>
      <c r="D119" t="s">
        <v>560</v>
      </c>
      <c r="E119" s="1">
        <v>4</v>
      </c>
      <c r="F119" t="str">
        <f>CONCATENATE(Tabla2[[#This Row],[name_club2]],"_",Tabla2[[#This Row],[npartido]])</f>
        <v>MANCHEGO TALENTS_4</v>
      </c>
      <c r="G119" s="5" t="s">
        <v>558</v>
      </c>
      <c r="H119" t="s">
        <v>355</v>
      </c>
      <c r="I119" t="s">
        <v>434</v>
      </c>
      <c r="J119" t="s">
        <v>435</v>
      </c>
      <c r="K119" t="s">
        <v>436</v>
      </c>
      <c r="L119" t="s">
        <v>359</v>
      </c>
      <c r="M119" t="s">
        <v>23</v>
      </c>
      <c r="P119" t="s">
        <v>561</v>
      </c>
      <c r="R119" t="s">
        <v>19</v>
      </c>
      <c r="S119" t="s">
        <v>90</v>
      </c>
    </row>
    <row r="120" spans="1:19" x14ac:dyDescent="0.25">
      <c r="A120" t="str">
        <f>CONCATENATE(Tabla2[[#This Row],[name_club1]]," vs ",Tabla2[[#This Row],[match_filter]])</f>
        <v>ACARSUR vs MANCHEGO TALENTS_4</v>
      </c>
      <c r="B120" t="s">
        <v>559</v>
      </c>
      <c r="C120" t="s">
        <v>92</v>
      </c>
      <c r="D120" t="s">
        <v>560</v>
      </c>
      <c r="E120" s="1">
        <v>4</v>
      </c>
      <c r="F120" t="str">
        <f>CONCATENATE(Tabla2[[#This Row],[name_club2]],"_",Tabla2[[#This Row],[npartido]])</f>
        <v>MANCHEGO TALENTS_4</v>
      </c>
      <c r="G120" s="5" t="s">
        <v>558</v>
      </c>
      <c r="H120" t="s">
        <v>26</v>
      </c>
      <c r="I120" t="s">
        <v>437</v>
      </c>
      <c r="J120" t="s">
        <v>436</v>
      </c>
      <c r="K120" t="s">
        <v>438</v>
      </c>
      <c r="L120" t="s">
        <v>439</v>
      </c>
      <c r="M120" t="s">
        <v>23</v>
      </c>
      <c r="P120" t="s">
        <v>561</v>
      </c>
      <c r="R120" t="s">
        <v>19</v>
      </c>
      <c r="S120" t="s">
        <v>90</v>
      </c>
    </row>
    <row r="121" spans="1:19" x14ac:dyDescent="0.25">
      <c r="A121" t="str">
        <f>CONCATENATE(Tabla2[[#This Row],[name_club1]]," vs ",Tabla2[[#This Row],[match_filter]])</f>
        <v>ACARSUR vs MANCHEGO TALENTS_4</v>
      </c>
      <c r="B121" t="s">
        <v>559</v>
      </c>
      <c r="C121" t="s">
        <v>92</v>
      </c>
      <c r="D121" t="s">
        <v>560</v>
      </c>
      <c r="E121" s="1">
        <v>4</v>
      </c>
      <c r="F121" t="str">
        <f>CONCATENATE(Tabla2[[#This Row],[name_club2]],"_",Tabla2[[#This Row],[npartido]])</f>
        <v>MANCHEGO TALENTS_4</v>
      </c>
      <c r="G121" s="5" t="s">
        <v>558</v>
      </c>
      <c r="H121" t="s">
        <v>29</v>
      </c>
      <c r="I121" t="s">
        <v>440</v>
      </c>
      <c r="J121" t="s">
        <v>441</v>
      </c>
      <c r="K121" t="s">
        <v>442</v>
      </c>
      <c r="L121" t="s">
        <v>443</v>
      </c>
      <c r="M121" t="s">
        <v>23</v>
      </c>
      <c r="P121" t="s">
        <v>561</v>
      </c>
      <c r="R121" t="s">
        <v>19</v>
      </c>
      <c r="S121" t="s">
        <v>90</v>
      </c>
    </row>
    <row r="122" spans="1:19" x14ac:dyDescent="0.25">
      <c r="A122" t="str">
        <f>CONCATENATE(Tabla2[[#This Row],[name_club1]]," vs ",Tabla2[[#This Row],[match_filter]])</f>
        <v>ACARSUR vs MANCHEGO TALENTS_4</v>
      </c>
      <c r="B122" t="s">
        <v>559</v>
      </c>
      <c r="C122" t="s">
        <v>92</v>
      </c>
      <c r="D122" t="s">
        <v>560</v>
      </c>
      <c r="E122" s="1">
        <v>4</v>
      </c>
      <c r="F122" t="str">
        <f>CONCATENATE(Tabla2[[#This Row],[name_club2]],"_",Tabla2[[#This Row],[npartido]])</f>
        <v>MANCHEGO TALENTS_4</v>
      </c>
      <c r="G122" s="5" t="s">
        <v>558</v>
      </c>
      <c r="H122" s="6" t="s">
        <v>24</v>
      </c>
      <c r="I122" t="s">
        <v>444</v>
      </c>
      <c r="J122" t="s">
        <v>445</v>
      </c>
      <c r="K122" t="s">
        <v>446</v>
      </c>
      <c r="L122" t="s">
        <v>447</v>
      </c>
      <c r="M122" s="6" t="s">
        <v>18</v>
      </c>
      <c r="P122" t="s">
        <v>561</v>
      </c>
      <c r="R122" t="s">
        <v>19</v>
      </c>
      <c r="S122" t="s">
        <v>90</v>
      </c>
    </row>
    <row r="123" spans="1:19" x14ac:dyDescent="0.25">
      <c r="A123" t="str">
        <f>CONCATENATE(Tabla2[[#This Row],[name_club1]]," vs ",Tabla2[[#This Row],[match_filter]])</f>
        <v>ACARSUR vs MANCHEGO TALENTS_4</v>
      </c>
      <c r="B123" t="s">
        <v>559</v>
      </c>
      <c r="C123" t="s">
        <v>92</v>
      </c>
      <c r="D123" t="s">
        <v>560</v>
      </c>
      <c r="E123" s="1">
        <v>4</v>
      </c>
      <c r="F123" t="str">
        <f>CONCATENATE(Tabla2[[#This Row],[name_club2]],"_",Tabla2[[#This Row],[npartido]])</f>
        <v>MANCHEGO TALENTS_4</v>
      </c>
      <c r="G123" s="5" t="s">
        <v>558</v>
      </c>
      <c r="H123" t="s">
        <v>567</v>
      </c>
      <c r="I123" t="s">
        <v>614</v>
      </c>
      <c r="J123" t="s">
        <v>273</v>
      </c>
      <c r="K123" t="s">
        <v>274</v>
      </c>
      <c r="L123" t="s">
        <v>615</v>
      </c>
      <c r="M123" t="s">
        <v>18</v>
      </c>
      <c r="P123" t="s">
        <v>561</v>
      </c>
      <c r="R123" t="s">
        <v>19</v>
      </c>
      <c r="S123" t="s">
        <v>90</v>
      </c>
    </row>
    <row r="124" spans="1:19" x14ac:dyDescent="0.25">
      <c r="A124" t="str">
        <f>CONCATENATE(Tabla2[[#This Row],[name_club1]]," vs ",Tabla2[[#This Row],[match_filter]])</f>
        <v>ACARSUR vs MANCHEGO TALENTS_4</v>
      </c>
      <c r="B124" t="s">
        <v>559</v>
      </c>
      <c r="C124" t="s">
        <v>92</v>
      </c>
      <c r="D124" t="s">
        <v>560</v>
      </c>
      <c r="E124" s="1">
        <v>4</v>
      </c>
      <c r="F124" t="str">
        <f>CONCATENATE(Tabla2[[#This Row],[name_club2]],"_",Tabla2[[#This Row],[npartido]])</f>
        <v>MANCHEGO TALENTS_4</v>
      </c>
      <c r="G124" s="5" t="s">
        <v>558</v>
      </c>
      <c r="H124" t="s">
        <v>567</v>
      </c>
      <c r="I124" t="s">
        <v>616</v>
      </c>
      <c r="J124" t="s">
        <v>617</v>
      </c>
      <c r="K124" t="s">
        <v>618</v>
      </c>
      <c r="L124" t="s">
        <v>619</v>
      </c>
      <c r="M124" t="s">
        <v>18</v>
      </c>
      <c r="P124" t="s">
        <v>561</v>
      </c>
      <c r="R124" t="s">
        <v>19</v>
      </c>
      <c r="S124" t="s">
        <v>90</v>
      </c>
    </row>
    <row r="125" spans="1:19" x14ac:dyDescent="0.25">
      <c r="A125" t="str">
        <f>CONCATENATE(Tabla2[[#This Row],[name_club1]]," vs ",Tabla2[[#This Row],[match_filter]])</f>
        <v>ACARSUR vs MANCHEGO TALENTS_4</v>
      </c>
      <c r="B125" t="s">
        <v>559</v>
      </c>
      <c r="C125" t="s">
        <v>92</v>
      </c>
      <c r="D125" t="s">
        <v>560</v>
      </c>
      <c r="E125" s="1">
        <v>4</v>
      </c>
      <c r="F125" t="str">
        <f>CONCATENATE(Tabla2[[#This Row],[name_club2]],"_",Tabla2[[#This Row],[npartido]])</f>
        <v>MANCHEGO TALENTS_4</v>
      </c>
      <c r="G125" s="5" t="s">
        <v>558</v>
      </c>
      <c r="H125" s="6" t="s">
        <v>43</v>
      </c>
      <c r="I125" t="s">
        <v>448</v>
      </c>
      <c r="J125" t="s">
        <v>449</v>
      </c>
      <c r="K125" t="s">
        <v>450</v>
      </c>
      <c r="L125" t="s">
        <v>451</v>
      </c>
      <c r="M125" s="6" t="s">
        <v>18</v>
      </c>
      <c r="P125" t="s">
        <v>561</v>
      </c>
      <c r="R125" t="s">
        <v>19</v>
      </c>
      <c r="S125" t="s">
        <v>90</v>
      </c>
    </row>
    <row r="126" spans="1:19" x14ac:dyDescent="0.25">
      <c r="A126" t="str">
        <f>CONCATENATE(Tabla2[[#This Row],[name_club1]]," vs ",Tabla2[[#This Row],[match_filter]])</f>
        <v>ACARSUR vs MANCHEGO TALENTS_4</v>
      </c>
      <c r="B126" t="s">
        <v>559</v>
      </c>
      <c r="C126" t="s">
        <v>92</v>
      </c>
      <c r="D126" t="s">
        <v>560</v>
      </c>
      <c r="E126" s="1">
        <v>4</v>
      </c>
      <c r="F126" t="str">
        <f>CONCATENATE(Tabla2[[#This Row],[name_club2]],"_",Tabla2[[#This Row],[npartido]])</f>
        <v>MANCHEGO TALENTS_4</v>
      </c>
      <c r="G126" s="5" t="s">
        <v>558</v>
      </c>
      <c r="H126" t="s">
        <v>452</v>
      </c>
      <c r="I126" t="s">
        <v>453</v>
      </c>
      <c r="J126" t="s">
        <v>454</v>
      </c>
      <c r="K126" t="s">
        <v>450</v>
      </c>
      <c r="L126" t="s">
        <v>455</v>
      </c>
      <c r="M126" t="s">
        <v>23</v>
      </c>
      <c r="P126" t="s">
        <v>561</v>
      </c>
      <c r="R126" t="s">
        <v>19</v>
      </c>
      <c r="S126" t="s">
        <v>90</v>
      </c>
    </row>
    <row r="127" spans="1:19" x14ac:dyDescent="0.25">
      <c r="A127" t="str">
        <f>CONCATENATE(Tabla2[[#This Row],[name_club1]]," vs ",Tabla2[[#This Row],[match_filter]])</f>
        <v>ACARSUR vs MANCHEGO TALENTS_4</v>
      </c>
      <c r="B127" t="s">
        <v>559</v>
      </c>
      <c r="C127" t="s">
        <v>92</v>
      </c>
      <c r="D127" t="s">
        <v>560</v>
      </c>
      <c r="E127" s="1">
        <v>4</v>
      </c>
      <c r="F127" t="str">
        <f>CONCATENATE(Tabla2[[#This Row],[name_club2]],"_",Tabla2[[#This Row],[npartido]])</f>
        <v>MANCHEGO TALENTS_4</v>
      </c>
      <c r="G127" s="5" t="s">
        <v>558</v>
      </c>
      <c r="H127" t="s">
        <v>29</v>
      </c>
      <c r="I127" t="s">
        <v>456</v>
      </c>
      <c r="J127" t="s">
        <v>457</v>
      </c>
      <c r="K127" t="s">
        <v>458</v>
      </c>
      <c r="L127" t="s">
        <v>459</v>
      </c>
      <c r="M127" t="s">
        <v>23</v>
      </c>
      <c r="P127" t="s">
        <v>561</v>
      </c>
      <c r="R127" t="s">
        <v>89</v>
      </c>
      <c r="S127" t="s">
        <v>20</v>
      </c>
    </row>
    <row r="128" spans="1:19" x14ac:dyDescent="0.25">
      <c r="A128" t="str">
        <f>CONCATENATE(Tabla2[[#This Row],[name_club1]]," vs ",Tabla2[[#This Row],[match_filter]])</f>
        <v>ACARSUR vs MANCHEGO TALENTS_4</v>
      </c>
      <c r="B128" t="s">
        <v>559</v>
      </c>
      <c r="C128" t="s">
        <v>92</v>
      </c>
      <c r="D128" t="s">
        <v>560</v>
      </c>
      <c r="E128" s="1">
        <v>4</v>
      </c>
      <c r="F128" t="str">
        <f>CONCATENATE(Tabla2[[#This Row],[name_club2]],"_",Tabla2[[#This Row],[npartido]])</f>
        <v>MANCHEGO TALENTS_4</v>
      </c>
      <c r="G128" s="5" t="s">
        <v>558</v>
      </c>
      <c r="H128" t="s">
        <v>620</v>
      </c>
      <c r="I128" t="s">
        <v>460</v>
      </c>
      <c r="J128" t="s">
        <v>461</v>
      </c>
      <c r="K128" t="s">
        <v>462</v>
      </c>
      <c r="L128" t="s">
        <v>186</v>
      </c>
      <c r="P128" t="s">
        <v>561</v>
      </c>
      <c r="R128" t="s">
        <v>89</v>
      </c>
      <c r="S128" t="s">
        <v>20</v>
      </c>
    </row>
    <row r="129" spans="1:19" x14ac:dyDescent="0.25">
      <c r="A129" t="str">
        <f>CONCATENATE(Tabla2[[#This Row],[name_club1]]," vs ",Tabla2[[#This Row],[match_filter]])</f>
        <v>ACARSUR vs MANCHEGO TALENTS_4</v>
      </c>
      <c r="B129" t="s">
        <v>559</v>
      </c>
      <c r="C129" t="s">
        <v>92</v>
      </c>
      <c r="D129" t="s">
        <v>560</v>
      </c>
      <c r="E129" s="1">
        <v>4</v>
      </c>
      <c r="F129" t="str">
        <f>CONCATENATE(Tabla2[[#This Row],[name_club2]],"_",Tabla2[[#This Row],[npartido]])</f>
        <v>MANCHEGO TALENTS_4</v>
      </c>
      <c r="G129" s="5" t="s">
        <v>558</v>
      </c>
      <c r="H129" t="s">
        <v>571</v>
      </c>
      <c r="I129" t="s">
        <v>621</v>
      </c>
      <c r="J129" t="s">
        <v>622</v>
      </c>
      <c r="K129" t="s">
        <v>623</v>
      </c>
      <c r="L129" t="s">
        <v>624</v>
      </c>
      <c r="P129" t="s">
        <v>566</v>
      </c>
      <c r="R129" t="s">
        <v>89</v>
      </c>
      <c r="S129" t="s">
        <v>20</v>
      </c>
    </row>
    <row r="130" spans="1:19" x14ac:dyDescent="0.25">
      <c r="A130" t="str">
        <f>CONCATENATE(Tabla2[[#This Row],[name_club1]]," vs ",Tabla2[[#This Row],[match_filter]])</f>
        <v>ACARSUR vs MANCHEGO TALENTS_4</v>
      </c>
      <c r="B130" t="s">
        <v>559</v>
      </c>
      <c r="C130" t="s">
        <v>92</v>
      </c>
      <c r="D130" t="s">
        <v>560</v>
      </c>
      <c r="E130" s="1">
        <v>4</v>
      </c>
      <c r="F130" t="str">
        <f>CONCATENATE(Tabla2[[#This Row],[name_club2]],"_",Tabla2[[#This Row],[npartido]])</f>
        <v>MANCHEGO TALENTS_4</v>
      </c>
      <c r="G130" s="5" t="s">
        <v>558</v>
      </c>
      <c r="H130" t="s">
        <v>17</v>
      </c>
      <c r="I130" t="s">
        <v>625</v>
      </c>
      <c r="J130" t="s">
        <v>626</v>
      </c>
      <c r="K130" t="s">
        <v>627</v>
      </c>
      <c r="L130" t="s">
        <v>628</v>
      </c>
      <c r="M130" t="s">
        <v>23</v>
      </c>
      <c r="P130" t="s">
        <v>566</v>
      </c>
      <c r="R130" t="s">
        <v>89</v>
      </c>
      <c r="S130" t="s">
        <v>20</v>
      </c>
    </row>
    <row r="131" spans="1:19" x14ac:dyDescent="0.25">
      <c r="A131" t="str">
        <f>CONCATENATE(Tabla2[[#This Row],[name_club1]]," vs ",Tabla2[[#This Row],[match_filter]])</f>
        <v>ACARSUR vs MANCHEGO TALENTS_4</v>
      </c>
      <c r="B131" t="s">
        <v>559</v>
      </c>
      <c r="C131" t="s">
        <v>92</v>
      </c>
      <c r="D131" t="s">
        <v>560</v>
      </c>
      <c r="E131" s="1">
        <v>4</v>
      </c>
      <c r="F131" t="str">
        <f>CONCATENATE(Tabla2[[#This Row],[name_club2]],"_",Tabla2[[#This Row],[npartido]])</f>
        <v>MANCHEGO TALENTS_4</v>
      </c>
      <c r="G131" s="5" t="s">
        <v>558</v>
      </c>
      <c r="H131" s="6" t="s">
        <v>29</v>
      </c>
      <c r="I131" t="s">
        <v>463</v>
      </c>
      <c r="J131" t="s">
        <v>464</v>
      </c>
      <c r="K131" t="s">
        <v>465</v>
      </c>
      <c r="L131" t="s">
        <v>466</v>
      </c>
      <c r="M131" s="6" t="s">
        <v>18</v>
      </c>
      <c r="P131" t="s">
        <v>561</v>
      </c>
      <c r="R131" t="s">
        <v>89</v>
      </c>
      <c r="S131" t="s">
        <v>20</v>
      </c>
    </row>
    <row r="132" spans="1:19" x14ac:dyDescent="0.25">
      <c r="A132" t="str">
        <f>CONCATENATE(Tabla2[[#This Row],[name_club1]]," vs ",Tabla2[[#This Row],[match_filter]])</f>
        <v>ACARSUR vs MANCHEGO TALENTS_4</v>
      </c>
      <c r="B132" t="s">
        <v>559</v>
      </c>
      <c r="C132" t="s">
        <v>92</v>
      </c>
      <c r="D132" t="s">
        <v>560</v>
      </c>
      <c r="E132" s="1">
        <v>4</v>
      </c>
      <c r="F132" t="str">
        <f>CONCATENATE(Tabla2[[#This Row],[name_club2]],"_",Tabla2[[#This Row],[npartido]])</f>
        <v>MANCHEGO TALENTS_4</v>
      </c>
      <c r="G132" s="5" t="s">
        <v>558</v>
      </c>
      <c r="H132" t="s">
        <v>17</v>
      </c>
      <c r="I132" t="s">
        <v>464</v>
      </c>
      <c r="J132" t="s">
        <v>467</v>
      </c>
      <c r="K132" t="s">
        <v>468</v>
      </c>
      <c r="L132" t="s">
        <v>469</v>
      </c>
      <c r="M132" t="s">
        <v>23</v>
      </c>
      <c r="P132" t="s">
        <v>561</v>
      </c>
      <c r="R132" t="s">
        <v>89</v>
      </c>
      <c r="S132" t="s">
        <v>20</v>
      </c>
    </row>
    <row r="133" spans="1:19" x14ac:dyDescent="0.25">
      <c r="A133" t="str">
        <f>CONCATENATE(Tabla2[[#This Row],[name_club1]]," vs ",Tabla2[[#This Row],[match_filter]])</f>
        <v>ACARSUR vs MANCHEGO TALENTS_4</v>
      </c>
      <c r="B133" t="s">
        <v>559</v>
      </c>
      <c r="C133" t="s">
        <v>92</v>
      </c>
      <c r="D133" t="s">
        <v>560</v>
      </c>
      <c r="E133" s="1">
        <v>4</v>
      </c>
      <c r="F133" t="str">
        <f>CONCATENATE(Tabla2[[#This Row],[name_club2]],"_",Tabla2[[#This Row],[npartido]])</f>
        <v>MANCHEGO TALENTS_4</v>
      </c>
      <c r="G133" s="5" t="s">
        <v>558</v>
      </c>
      <c r="H133" t="s">
        <v>26</v>
      </c>
      <c r="I133" t="s">
        <v>470</v>
      </c>
      <c r="J133" t="s">
        <v>471</v>
      </c>
      <c r="K133" t="s">
        <v>472</v>
      </c>
      <c r="L133" t="s">
        <v>473</v>
      </c>
      <c r="P133" t="s">
        <v>561</v>
      </c>
      <c r="R133" t="s">
        <v>89</v>
      </c>
      <c r="S133" t="s">
        <v>20</v>
      </c>
    </row>
    <row r="134" spans="1:19" x14ac:dyDescent="0.25">
      <c r="A134" t="str">
        <f>CONCATENATE(Tabla2[[#This Row],[name_club1]]," vs ",Tabla2[[#This Row],[match_filter]])</f>
        <v>ACARSUR vs MANCHEGO TALENTS_4</v>
      </c>
      <c r="B134" t="s">
        <v>559</v>
      </c>
      <c r="C134" t="s">
        <v>92</v>
      </c>
      <c r="D134" t="s">
        <v>560</v>
      </c>
      <c r="E134" s="1">
        <v>4</v>
      </c>
      <c r="F134" t="str">
        <f>CONCATENATE(Tabla2[[#This Row],[name_club2]],"_",Tabla2[[#This Row],[npartido]])</f>
        <v>MANCHEGO TALENTS_4</v>
      </c>
      <c r="G134" s="5" t="s">
        <v>558</v>
      </c>
      <c r="H134" t="s">
        <v>571</v>
      </c>
      <c r="I134" t="s">
        <v>629</v>
      </c>
      <c r="J134" t="s">
        <v>630</v>
      </c>
      <c r="K134" t="s">
        <v>631</v>
      </c>
      <c r="L134" t="s">
        <v>632</v>
      </c>
      <c r="P134" t="s">
        <v>566</v>
      </c>
      <c r="R134" t="s">
        <v>89</v>
      </c>
      <c r="S134" t="s">
        <v>20</v>
      </c>
    </row>
    <row r="135" spans="1:19" x14ac:dyDescent="0.25">
      <c r="A135" t="str">
        <f>CONCATENATE(Tabla2[[#This Row],[name_club1]]," vs ",Tabla2[[#This Row],[match_filter]])</f>
        <v>ACARSUR vs MANCHEGO TALENTS_4</v>
      </c>
      <c r="B135" t="s">
        <v>559</v>
      </c>
      <c r="C135" t="s">
        <v>92</v>
      </c>
      <c r="D135" t="s">
        <v>560</v>
      </c>
      <c r="E135" s="1">
        <v>4</v>
      </c>
      <c r="F135" t="str">
        <f>CONCATENATE(Tabla2[[#This Row],[name_club2]],"_",Tabla2[[#This Row],[npartido]])</f>
        <v>MANCHEGO TALENTS_4</v>
      </c>
      <c r="G135" s="5" t="s">
        <v>558</v>
      </c>
      <c r="H135" t="s">
        <v>17</v>
      </c>
      <c r="I135" t="s">
        <v>633</v>
      </c>
      <c r="J135" t="s">
        <v>634</v>
      </c>
      <c r="K135" t="s">
        <v>635</v>
      </c>
      <c r="L135" t="s">
        <v>636</v>
      </c>
      <c r="M135" t="s">
        <v>23</v>
      </c>
      <c r="P135" t="s">
        <v>566</v>
      </c>
      <c r="R135" t="s">
        <v>89</v>
      </c>
      <c r="S135" t="s">
        <v>20</v>
      </c>
    </row>
    <row r="136" spans="1:19" x14ac:dyDescent="0.25">
      <c r="A136" t="str">
        <f>CONCATENATE(Tabla2[[#This Row],[name_club1]]," vs ",Tabla2[[#This Row],[match_filter]])</f>
        <v>ACARSUR vs MANCHEGO TALENTS_4</v>
      </c>
      <c r="B136" t="s">
        <v>559</v>
      </c>
      <c r="C136" t="s">
        <v>92</v>
      </c>
      <c r="D136" t="s">
        <v>560</v>
      </c>
      <c r="E136" s="1">
        <v>4</v>
      </c>
      <c r="F136" t="str">
        <f>CONCATENATE(Tabla2[[#This Row],[name_club2]],"_",Tabla2[[#This Row],[npartido]])</f>
        <v>MANCHEGO TALENTS_4</v>
      </c>
      <c r="G136" s="5" t="s">
        <v>558</v>
      </c>
      <c r="H136" s="6" t="s">
        <v>29</v>
      </c>
      <c r="I136" t="s">
        <v>474</v>
      </c>
      <c r="J136" t="s">
        <v>475</v>
      </c>
      <c r="K136" t="s">
        <v>476</v>
      </c>
      <c r="L136" t="s">
        <v>477</v>
      </c>
      <c r="M136" s="6" t="s">
        <v>18</v>
      </c>
      <c r="P136" t="s">
        <v>561</v>
      </c>
      <c r="R136" t="s">
        <v>89</v>
      </c>
      <c r="S136" t="s">
        <v>20</v>
      </c>
    </row>
    <row r="137" spans="1:19" x14ac:dyDescent="0.25">
      <c r="A137" t="str">
        <f>CONCATENATE(Tabla2[[#This Row],[name_club1]]," vs ",Tabla2[[#This Row],[match_filter]])</f>
        <v>ACARSUR vs MANCHEGO TALENTS_4</v>
      </c>
      <c r="B137" t="s">
        <v>559</v>
      </c>
      <c r="C137" t="s">
        <v>92</v>
      </c>
      <c r="D137" t="s">
        <v>560</v>
      </c>
      <c r="E137" s="1">
        <v>4</v>
      </c>
      <c r="F137" t="str">
        <f>CONCATENATE(Tabla2[[#This Row],[name_club2]],"_",Tabla2[[#This Row],[npartido]])</f>
        <v>MANCHEGO TALENTS_4</v>
      </c>
      <c r="G137" s="5" t="s">
        <v>558</v>
      </c>
      <c r="H137" t="s">
        <v>17</v>
      </c>
      <c r="I137" t="s">
        <v>478</v>
      </c>
      <c r="J137" t="s">
        <v>479</v>
      </c>
      <c r="K137" t="s">
        <v>476</v>
      </c>
      <c r="L137" t="s">
        <v>480</v>
      </c>
      <c r="M137" t="s">
        <v>18</v>
      </c>
      <c r="P137" t="s">
        <v>561</v>
      </c>
      <c r="R137" t="s">
        <v>89</v>
      </c>
      <c r="S137" t="s">
        <v>20</v>
      </c>
    </row>
    <row r="138" spans="1:19" x14ac:dyDescent="0.25">
      <c r="A138" t="str">
        <f>CONCATENATE(Tabla2[[#This Row],[name_club1]]," vs ",Tabla2[[#This Row],[match_filter]])</f>
        <v>ACARSUR vs MANCHEGO TALENTS_4</v>
      </c>
      <c r="B138" t="s">
        <v>559</v>
      </c>
      <c r="C138" t="s">
        <v>92</v>
      </c>
      <c r="D138" t="s">
        <v>560</v>
      </c>
      <c r="E138" s="1">
        <v>4</v>
      </c>
      <c r="F138" t="str">
        <f>CONCATENATE(Tabla2[[#This Row],[name_club2]],"_",Tabla2[[#This Row],[npartido]])</f>
        <v>MANCHEGO TALENTS_4</v>
      </c>
      <c r="G138" s="5" t="s">
        <v>558</v>
      </c>
      <c r="H138" t="s">
        <v>17</v>
      </c>
      <c r="I138" t="s">
        <v>481</v>
      </c>
      <c r="J138" t="s">
        <v>482</v>
      </c>
      <c r="K138" t="s">
        <v>483</v>
      </c>
      <c r="L138" t="s">
        <v>484</v>
      </c>
      <c r="M138" t="s">
        <v>18</v>
      </c>
      <c r="P138" t="s">
        <v>561</v>
      </c>
      <c r="R138" t="s">
        <v>89</v>
      </c>
      <c r="S138" t="s">
        <v>20</v>
      </c>
    </row>
    <row r="139" spans="1:19" x14ac:dyDescent="0.25">
      <c r="A139" t="str">
        <f>CONCATENATE(Tabla2[[#This Row],[name_club1]]," vs ",Tabla2[[#This Row],[match_filter]])</f>
        <v>ACARSUR vs MANCHEGO TALENTS_4</v>
      </c>
      <c r="B139" t="s">
        <v>559</v>
      </c>
      <c r="C139" t="s">
        <v>92</v>
      </c>
      <c r="D139" t="s">
        <v>560</v>
      </c>
      <c r="E139" s="1">
        <v>4</v>
      </c>
      <c r="F139" t="str">
        <f>CONCATENATE(Tabla2[[#This Row],[name_club2]],"_",Tabla2[[#This Row],[npartido]])</f>
        <v>MANCHEGO TALENTS_4</v>
      </c>
      <c r="G139" s="5" t="s">
        <v>558</v>
      </c>
      <c r="H139" t="s">
        <v>355</v>
      </c>
      <c r="I139" t="s">
        <v>485</v>
      </c>
      <c r="J139" t="s">
        <v>486</v>
      </c>
      <c r="K139" t="s">
        <v>487</v>
      </c>
      <c r="L139" t="s">
        <v>488</v>
      </c>
      <c r="M139" t="s">
        <v>23</v>
      </c>
      <c r="P139" t="s">
        <v>561</v>
      </c>
      <c r="R139" t="s">
        <v>89</v>
      </c>
      <c r="S139" t="s">
        <v>20</v>
      </c>
    </row>
    <row r="140" spans="1:19" x14ac:dyDescent="0.25">
      <c r="A140" t="str">
        <f>CONCATENATE(Tabla2[[#This Row],[name_club1]]," vs ",Tabla2[[#This Row],[match_filter]])</f>
        <v>ACARSUR vs MANCHEGO TALENTS_4</v>
      </c>
      <c r="B140" t="s">
        <v>559</v>
      </c>
      <c r="C140" t="s">
        <v>92</v>
      </c>
      <c r="D140" t="s">
        <v>560</v>
      </c>
      <c r="E140" s="1">
        <v>4</v>
      </c>
      <c r="F140" t="str">
        <f>CONCATENATE(Tabla2[[#This Row],[name_club2]],"_",Tabla2[[#This Row],[npartido]])</f>
        <v>MANCHEGO TALENTS_4</v>
      </c>
      <c r="G140" s="5" t="s">
        <v>558</v>
      </c>
      <c r="H140" s="6" t="s">
        <v>43</v>
      </c>
      <c r="I140" t="s">
        <v>489</v>
      </c>
      <c r="J140" t="s">
        <v>490</v>
      </c>
      <c r="K140" t="s">
        <v>491</v>
      </c>
      <c r="L140" t="s">
        <v>492</v>
      </c>
      <c r="M140" s="6" t="s">
        <v>18</v>
      </c>
      <c r="P140" t="s">
        <v>561</v>
      </c>
      <c r="R140" t="s">
        <v>89</v>
      </c>
      <c r="S140" t="s">
        <v>20</v>
      </c>
    </row>
    <row r="141" spans="1:19" x14ac:dyDescent="0.25">
      <c r="A141" t="str">
        <f>CONCATENATE(Tabla2[[#This Row],[name_club1]]," vs ",Tabla2[[#This Row],[match_filter]])</f>
        <v>ACARSUR vs MANCHEGO TALENTS_4</v>
      </c>
      <c r="B141" t="s">
        <v>559</v>
      </c>
      <c r="C141" t="s">
        <v>92</v>
      </c>
      <c r="D141" t="s">
        <v>560</v>
      </c>
      <c r="E141" s="1">
        <v>4</v>
      </c>
      <c r="F141" t="str">
        <f>CONCATENATE(Tabla2[[#This Row],[name_club2]],"_",Tabla2[[#This Row],[npartido]])</f>
        <v>MANCHEGO TALENTS_4</v>
      </c>
      <c r="G141" s="5" t="s">
        <v>558</v>
      </c>
      <c r="H141" t="s">
        <v>452</v>
      </c>
      <c r="I141" t="s">
        <v>493</v>
      </c>
      <c r="J141" t="s">
        <v>494</v>
      </c>
      <c r="K141" t="s">
        <v>495</v>
      </c>
      <c r="L141" t="s">
        <v>496</v>
      </c>
      <c r="M141" t="s">
        <v>23</v>
      </c>
      <c r="P141" t="s">
        <v>561</v>
      </c>
      <c r="R141" t="s">
        <v>89</v>
      </c>
      <c r="S141" t="s">
        <v>20</v>
      </c>
    </row>
    <row r="142" spans="1:19" x14ac:dyDescent="0.25">
      <c r="A142" t="str">
        <f>CONCATENATE(Tabla2[[#This Row],[name_club1]]," vs ",Tabla2[[#This Row],[match_filter]])</f>
        <v>ACARSUR vs MANCHEGO TALENTS_4</v>
      </c>
      <c r="B142" t="s">
        <v>559</v>
      </c>
      <c r="C142" t="s">
        <v>92</v>
      </c>
      <c r="D142" t="s">
        <v>560</v>
      </c>
      <c r="E142" s="1">
        <v>4</v>
      </c>
      <c r="F142" t="str">
        <f>CONCATENATE(Tabla2[[#This Row],[name_club2]],"_",Tabla2[[#This Row],[npartido]])</f>
        <v>MANCHEGO TALENTS_4</v>
      </c>
      <c r="G142" s="5" t="s">
        <v>558</v>
      </c>
      <c r="H142" t="s">
        <v>452</v>
      </c>
      <c r="I142" t="s">
        <v>489</v>
      </c>
      <c r="J142" t="s">
        <v>497</v>
      </c>
      <c r="K142" t="s">
        <v>498</v>
      </c>
      <c r="L142" t="s">
        <v>499</v>
      </c>
      <c r="M142" t="s">
        <v>23</v>
      </c>
      <c r="P142" t="s">
        <v>561</v>
      </c>
      <c r="R142" t="s">
        <v>89</v>
      </c>
      <c r="S142" t="s">
        <v>20</v>
      </c>
    </row>
    <row r="143" spans="1:19" x14ac:dyDescent="0.25">
      <c r="A143" t="str">
        <f>CONCATENATE(Tabla2[[#This Row],[name_club1]]," vs ",Tabla2[[#This Row],[match_filter]])</f>
        <v>ACARSUR vs MANCHEGO TALENTS_4</v>
      </c>
      <c r="B143" t="s">
        <v>559</v>
      </c>
      <c r="C143" t="s">
        <v>92</v>
      </c>
      <c r="D143" t="s">
        <v>560</v>
      </c>
      <c r="E143" s="1">
        <v>4</v>
      </c>
      <c r="F143" t="str">
        <f>CONCATENATE(Tabla2[[#This Row],[name_club2]],"_",Tabla2[[#This Row],[npartido]])</f>
        <v>MANCHEGO TALENTS_4</v>
      </c>
      <c r="G143" s="5" t="s">
        <v>558</v>
      </c>
      <c r="H143" t="s">
        <v>567</v>
      </c>
      <c r="I143" t="s">
        <v>637</v>
      </c>
      <c r="J143" t="s">
        <v>638</v>
      </c>
      <c r="K143" t="s">
        <v>149</v>
      </c>
      <c r="L143" t="s">
        <v>639</v>
      </c>
      <c r="M143" t="s">
        <v>23</v>
      </c>
      <c r="P143" t="s">
        <v>561</v>
      </c>
      <c r="R143" t="s">
        <v>89</v>
      </c>
      <c r="S143" t="s">
        <v>20</v>
      </c>
    </row>
    <row r="144" spans="1:19" x14ac:dyDescent="0.25">
      <c r="A144" t="str">
        <f>CONCATENATE(Tabla2[[#This Row],[name_club1]]," vs ",Tabla2[[#This Row],[match_filter]])</f>
        <v>ACARSUR vs MANCHEGO TALENTS_4</v>
      </c>
      <c r="B144" t="s">
        <v>559</v>
      </c>
      <c r="C144" t="s">
        <v>92</v>
      </c>
      <c r="D144" t="s">
        <v>560</v>
      </c>
      <c r="E144" s="1">
        <v>4</v>
      </c>
      <c r="F144" t="str">
        <f>CONCATENATE(Tabla2[[#This Row],[name_club2]],"_",Tabla2[[#This Row],[npartido]])</f>
        <v>MANCHEGO TALENTS_4</v>
      </c>
      <c r="G144" s="5" t="s">
        <v>558</v>
      </c>
      <c r="H144" t="s">
        <v>620</v>
      </c>
      <c r="I144" t="s">
        <v>500</v>
      </c>
      <c r="J144" t="s">
        <v>501</v>
      </c>
      <c r="K144" t="s">
        <v>502</v>
      </c>
      <c r="L144" t="s">
        <v>503</v>
      </c>
      <c r="P144" t="s">
        <v>561</v>
      </c>
      <c r="R144" t="s">
        <v>89</v>
      </c>
      <c r="S144" t="s">
        <v>20</v>
      </c>
    </row>
    <row r="145" spans="1:19" x14ac:dyDescent="0.25">
      <c r="A145" t="str">
        <f>CONCATENATE(Tabla2[[#This Row],[name_club1]]," vs ",Tabla2[[#This Row],[match_filter]])</f>
        <v>ACARSUR vs MANCHEGO TALENTS_4</v>
      </c>
      <c r="B145" t="s">
        <v>559</v>
      </c>
      <c r="C145" t="s">
        <v>92</v>
      </c>
      <c r="D145" t="s">
        <v>560</v>
      </c>
      <c r="E145" s="1">
        <v>4</v>
      </c>
      <c r="F145" t="str">
        <f>CONCATENATE(Tabla2[[#This Row],[name_club2]],"_",Tabla2[[#This Row],[npartido]])</f>
        <v>MANCHEGO TALENTS_4</v>
      </c>
      <c r="G145" s="5" t="s">
        <v>558</v>
      </c>
      <c r="H145" t="s">
        <v>571</v>
      </c>
      <c r="I145" t="s">
        <v>640</v>
      </c>
      <c r="J145" t="s">
        <v>641</v>
      </c>
      <c r="K145" t="s">
        <v>642</v>
      </c>
      <c r="L145" t="s">
        <v>643</v>
      </c>
      <c r="P145" t="s">
        <v>566</v>
      </c>
      <c r="R145" t="s">
        <v>89</v>
      </c>
      <c r="S145" t="s">
        <v>20</v>
      </c>
    </row>
    <row r="146" spans="1:19" x14ac:dyDescent="0.25">
      <c r="A146" t="str">
        <f>CONCATENATE(Tabla2[[#This Row],[name_club1]]," vs ",Tabla2[[#This Row],[match_filter]])</f>
        <v>ACARSUR vs MANCHEGO TALENTS_4</v>
      </c>
      <c r="B146" t="s">
        <v>559</v>
      </c>
      <c r="C146" t="s">
        <v>92</v>
      </c>
      <c r="D146" t="s">
        <v>560</v>
      </c>
      <c r="E146" s="1">
        <v>4</v>
      </c>
      <c r="F146" t="str">
        <f>CONCATENATE(Tabla2[[#This Row],[name_club2]],"_",Tabla2[[#This Row],[npartido]])</f>
        <v>MANCHEGO TALENTS_4</v>
      </c>
      <c r="G146" s="5" t="s">
        <v>558</v>
      </c>
      <c r="H146" t="s">
        <v>17</v>
      </c>
      <c r="I146" t="s">
        <v>642</v>
      </c>
      <c r="J146" t="s">
        <v>644</v>
      </c>
      <c r="K146" t="s">
        <v>645</v>
      </c>
      <c r="L146" t="s">
        <v>646</v>
      </c>
      <c r="M146" t="s">
        <v>23</v>
      </c>
      <c r="P146" t="s">
        <v>566</v>
      </c>
      <c r="R146" t="s">
        <v>89</v>
      </c>
      <c r="S146" t="s">
        <v>20</v>
      </c>
    </row>
    <row r="147" spans="1:19" x14ac:dyDescent="0.25">
      <c r="A147" t="str">
        <f>CONCATENATE(Tabla2[[#This Row],[name_club1]]," vs ",Tabla2[[#This Row],[match_filter]])</f>
        <v>ACARSUR vs MANCHEGO TALENTS_4</v>
      </c>
      <c r="B147" t="s">
        <v>559</v>
      </c>
      <c r="C147" t="s">
        <v>92</v>
      </c>
      <c r="D147" t="s">
        <v>560</v>
      </c>
      <c r="E147" s="1">
        <v>4</v>
      </c>
      <c r="F147" t="str">
        <f>CONCATENATE(Tabla2[[#This Row],[name_club2]],"_",Tabla2[[#This Row],[npartido]])</f>
        <v>MANCHEGO TALENTS_4</v>
      </c>
      <c r="G147" s="5" t="s">
        <v>558</v>
      </c>
      <c r="H147" t="s">
        <v>17</v>
      </c>
      <c r="I147" t="s">
        <v>75</v>
      </c>
      <c r="J147" t="s">
        <v>504</v>
      </c>
      <c r="K147" t="s">
        <v>505</v>
      </c>
      <c r="L147" t="s">
        <v>506</v>
      </c>
      <c r="M147" t="s">
        <v>23</v>
      </c>
      <c r="P147" t="s">
        <v>561</v>
      </c>
      <c r="R147" t="s">
        <v>89</v>
      </c>
      <c r="S147" t="s">
        <v>20</v>
      </c>
    </row>
    <row r="148" spans="1:19" x14ac:dyDescent="0.25">
      <c r="A148" t="str">
        <f>CONCATENATE(Tabla2[[#This Row],[name_club1]]," vs ",Tabla2[[#This Row],[match_filter]])</f>
        <v>ACARSUR vs MANCHEGO TALENTS_4</v>
      </c>
      <c r="B148" t="s">
        <v>559</v>
      </c>
      <c r="C148" t="s">
        <v>92</v>
      </c>
      <c r="D148" t="s">
        <v>560</v>
      </c>
      <c r="E148" s="1">
        <v>4</v>
      </c>
      <c r="F148" t="str">
        <f>CONCATENATE(Tabla2[[#This Row],[name_club2]],"_",Tabla2[[#This Row],[npartido]])</f>
        <v>MANCHEGO TALENTS_4</v>
      </c>
      <c r="G148" s="5" t="s">
        <v>558</v>
      </c>
      <c r="H148" s="6" t="s">
        <v>29</v>
      </c>
      <c r="I148" t="s">
        <v>507</v>
      </c>
      <c r="J148" t="s">
        <v>508</v>
      </c>
      <c r="K148" t="s">
        <v>509</v>
      </c>
      <c r="L148" t="s">
        <v>510</v>
      </c>
      <c r="M148" s="6" t="s">
        <v>18</v>
      </c>
      <c r="P148" t="s">
        <v>561</v>
      </c>
      <c r="R148" t="s">
        <v>89</v>
      </c>
      <c r="S148" t="s">
        <v>20</v>
      </c>
    </row>
    <row r="149" spans="1:19" x14ac:dyDescent="0.25">
      <c r="A149" t="str">
        <f>CONCATENATE(Tabla2[[#This Row],[name_club1]]," vs ",Tabla2[[#This Row],[match_filter]])</f>
        <v>ACARSUR vs MANCHEGO TALENTS_4</v>
      </c>
      <c r="B149" t="s">
        <v>559</v>
      </c>
      <c r="C149" t="s">
        <v>92</v>
      </c>
      <c r="D149" t="s">
        <v>560</v>
      </c>
      <c r="E149" s="1">
        <v>4</v>
      </c>
      <c r="F149" t="str">
        <f>CONCATENATE(Tabla2[[#This Row],[name_club2]],"_",Tabla2[[#This Row],[npartido]])</f>
        <v>MANCHEGO TALENTS_4</v>
      </c>
      <c r="G149" s="5" t="s">
        <v>558</v>
      </c>
      <c r="H149" t="s">
        <v>43</v>
      </c>
      <c r="I149" t="s">
        <v>509</v>
      </c>
      <c r="J149" t="s">
        <v>511</v>
      </c>
      <c r="K149" t="s">
        <v>512</v>
      </c>
      <c r="L149" t="s">
        <v>513</v>
      </c>
      <c r="M149" t="s">
        <v>23</v>
      </c>
      <c r="P149" t="s">
        <v>561</v>
      </c>
      <c r="R149" t="s">
        <v>89</v>
      </c>
      <c r="S149" t="s">
        <v>20</v>
      </c>
    </row>
    <row r="150" spans="1:19" x14ac:dyDescent="0.25">
      <c r="A150" t="str">
        <f>CONCATENATE(Tabla2[[#This Row],[name_club1]]," vs ",Tabla2[[#This Row],[match_filter]])</f>
        <v>ACARSUR vs MANCHEGO TALENTS_4</v>
      </c>
      <c r="B150" t="s">
        <v>559</v>
      </c>
      <c r="C150" t="s">
        <v>92</v>
      </c>
      <c r="D150" t="s">
        <v>560</v>
      </c>
      <c r="E150" s="1">
        <v>4</v>
      </c>
      <c r="F150" t="str">
        <f>CONCATENATE(Tabla2[[#This Row],[name_club2]],"_",Tabla2[[#This Row],[npartido]])</f>
        <v>MANCHEGO TALENTS_4</v>
      </c>
      <c r="G150" s="5" t="s">
        <v>558</v>
      </c>
      <c r="H150" t="s">
        <v>17</v>
      </c>
      <c r="I150" t="s">
        <v>514</v>
      </c>
      <c r="J150" t="s">
        <v>515</v>
      </c>
      <c r="K150" t="s">
        <v>512</v>
      </c>
      <c r="L150" t="s">
        <v>516</v>
      </c>
      <c r="M150" t="s">
        <v>18</v>
      </c>
      <c r="P150" t="s">
        <v>561</v>
      </c>
      <c r="R150" t="s">
        <v>89</v>
      </c>
      <c r="S150" t="s">
        <v>20</v>
      </c>
    </row>
    <row r="151" spans="1:19" x14ac:dyDescent="0.25">
      <c r="A151" t="str">
        <f>CONCATENATE(Tabla2[[#This Row],[name_club1]]," vs ",Tabla2[[#This Row],[match_filter]])</f>
        <v>ACARSUR vs MANCHEGO TALENTS_4</v>
      </c>
      <c r="B151" t="s">
        <v>559</v>
      </c>
      <c r="C151" t="s">
        <v>92</v>
      </c>
      <c r="D151" t="s">
        <v>560</v>
      </c>
      <c r="E151" s="1">
        <v>4</v>
      </c>
      <c r="F151" t="str">
        <f>CONCATENATE(Tabla2[[#This Row],[name_club2]],"_",Tabla2[[#This Row],[npartido]])</f>
        <v>MANCHEGO TALENTS_4</v>
      </c>
      <c r="G151" s="5" t="s">
        <v>558</v>
      </c>
      <c r="H151" t="s">
        <v>29</v>
      </c>
      <c r="I151" t="s">
        <v>517</v>
      </c>
      <c r="J151" t="s">
        <v>518</v>
      </c>
      <c r="K151" t="s">
        <v>519</v>
      </c>
      <c r="L151" t="s">
        <v>520</v>
      </c>
      <c r="M151" t="s">
        <v>23</v>
      </c>
      <c r="P151" t="s">
        <v>561</v>
      </c>
      <c r="R151" t="s">
        <v>89</v>
      </c>
      <c r="S151" t="s">
        <v>20</v>
      </c>
    </row>
    <row r="152" spans="1:19" x14ac:dyDescent="0.25">
      <c r="A152" t="str">
        <f>CONCATENATE(Tabla2[[#This Row],[name_club1]]," vs ",Tabla2[[#This Row],[match_filter]])</f>
        <v>ACARSUR vs MANCHEGO TALENTS_4</v>
      </c>
      <c r="B152" t="s">
        <v>559</v>
      </c>
      <c r="C152" t="s">
        <v>92</v>
      </c>
      <c r="D152" t="s">
        <v>560</v>
      </c>
      <c r="E152" s="1">
        <v>4</v>
      </c>
      <c r="F152" t="str">
        <f>CONCATENATE(Tabla2[[#This Row],[name_club2]],"_",Tabla2[[#This Row],[npartido]])</f>
        <v>MANCHEGO TALENTS_4</v>
      </c>
      <c r="G152" s="5" t="s">
        <v>558</v>
      </c>
      <c r="H152" t="s">
        <v>429</v>
      </c>
      <c r="I152" t="s">
        <v>521</v>
      </c>
      <c r="J152" t="s">
        <v>522</v>
      </c>
      <c r="K152" t="s">
        <v>523</v>
      </c>
      <c r="L152" t="s">
        <v>524</v>
      </c>
      <c r="M152" t="s">
        <v>23</v>
      </c>
      <c r="P152" t="s">
        <v>561</v>
      </c>
      <c r="R152" t="s">
        <v>89</v>
      </c>
      <c r="S152" t="s">
        <v>20</v>
      </c>
    </row>
    <row r="153" spans="1:19" x14ac:dyDescent="0.25">
      <c r="A153" t="str">
        <f>CONCATENATE(Tabla2[[#This Row],[name_club1]]," vs ",Tabla2[[#This Row],[match_filter]])</f>
        <v>ACARSUR vs MANCHEGO TALENTS_4</v>
      </c>
      <c r="B153" t="s">
        <v>559</v>
      </c>
      <c r="C153" t="s">
        <v>92</v>
      </c>
      <c r="D153" t="s">
        <v>560</v>
      </c>
      <c r="E153" s="1">
        <v>4</v>
      </c>
      <c r="F153" t="str">
        <f>CONCATENATE(Tabla2[[#This Row],[name_club2]],"_",Tabla2[[#This Row],[npartido]])</f>
        <v>MANCHEGO TALENTS_4</v>
      </c>
      <c r="G153" s="5" t="s">
        <v>558</v>
      </c>
      <c r="H153" t="s">
        <v>22</v>
      </c>
      <c r="I153" t="s">
        <v>525</v>
      </c>
      <c r="J153" t="s">
        <v>526</v>
      </c>
      <c r="K153" t="s">
        <v>527</v>
      </c>
      <c r="L153" t="s">
        <v>528</v>
      </c>
      <c r="P153" t="s">
        <v>561</v>
      </c>
      <c r="R153" t="s">
        <v>89</v>
      </c>
      <c r="S153" t="s">
        <v>20</v>
      </c>
    </row>
    <row r="154" spans="1:19" x14ac:dyDescent="0.25">
      <c r="A154" t="str">
        <f>CONCATENATE(Tabla2[[#This Row],[name_club1]]," vs ",Tabla2[[#This Row],[match_filter]])</f>
        <v>ACARSUR vs MANCHEGO TALENTS_4</v>
      </c>
      <c r="B154" t="s">
        <v>559</v>
      </c>
      <c r="C154" t="s">
        <v>92</v>
      </c>
      <c r="D154" t="s">
        <v>560</v>
      </c>
      <c r="E154" s="1">
        <v>4</v>
      </c>
      <c r="F154" t="str">
        <f>CONCATENATE(Tabla2[[#This Row],[name_club2]],"_",Tabla2[[#This Row],[npartido]])</f>
        <v>MANCHEGO TALENTS_4</v>
      </c>
      <c r="G154" s="5" t="s">
        <v>558</v>
      </c>
      <c r="H154" t="s">
        <v>17</v>
      </c>
      <c r="I154" t="s">
        <v>527</v>
      </c>
      <c r="J154" t="s">
        <v>529</v>
      </c>
      <c r="K154" t="s">
        <v>530</v>
      </c>
      <c r="L154" t="s">
        <v>531</v>
      </c>
      <c r="M154" t="s">
        <v>23</v>
      </c>
      <c r="P154" t="s">
        <v>561</v>
      </c>
      <c r="R154" t="s">
        <v>89</v>
      </c>
      <c r="S154" t="s">
        <v>20</v>
      </c>
    </row>
    <row r="155" spans="1:19" x14ac:dyDescent="0.25">
      <c r="A155" t="str">
        <f>CONCATENATE(Tabla2[[#This Row],[name_club1]]," vs ",Tabla2[[#This Row],[match_filter]])</f>
        <v>ACARSUR vs MANCHEGO TALENTS_4</v>
      </c>
      <c r="B155" t="s">
        <v>559</v>
      </c>
      <c r="C155" t="s">
        <v>92</v>
      </c>
      <c r="D155" t="s">
        <v>560</v>
      </c>
      <c r="E155" s="1">
        <v>4</v>
      </c>
      <c r="F155" t="str">
        <f>CONCATENATE(Tabla2[[#This Row],[name_club2]],"_",Tabla2[[#This Row],[npartido]])</f>
        <v>MANCHEGO TALENTS_4</v>
      </c>
      <c r="G155" s="5" t="s">
        <v>558</v>
      </c>
      <c r="H155" t="s">
        <v>571</v>
      </c>
      <c r="I155" t="s">
        <v>647</v>
      </c>
      <c r="J155" t="s">
        <v>648</v>
      </c>
      <c r="K155" t="s">
        <v>649</v>
      </c>
      <c r="L155" t="s">
        <v>650</v>
      </c>
      <c r="P155" t="s">
        <v>566</v>
      </c>
      <c r="R155" t="s">
        <v>89</v>
      </c>
      <c r="S155" t="s">
        <v>20</v>
      </c>
    </row>
    <row r="156" spans="1:19" x14ac:dyDescent="0.25">
      <c r="A156" t="str">
        <f>CONCATENATE(Tabla2[[#This Row],[name_club1]]," vs ",Tabla2[[#This Row],[match_filter]])</f>
        <v>ACARSUR vs MANCHEGO TALENTS_4</v>
      </c>
      <c r="B156" t="s">
        <v>559</v>
      </c>
      <c r="C156" t="s">
        <v>92</v>
      </c>
      <c r="D156" t="s">
        <v>560</v>
      </c>
      <c r="E156" s="1">
        <v>4</v>
      </c>
      <c r="F156" t="str">
        <f>CONCATENATE(Tabla2[[#This Row],[name_club2]],"_",Tabla2[[#This Row],[npartido]])</f>
        <v>MANCHEGO TALENTS_4</v>
      </c>
      <c r="G156" s="5" t="s">
        <v>558</v>
      </c>
      <c r="H156" t="s">
        <v>26</v>
      </c>
      <c r="I156" t="s">
        <v>532</v>
      </c>
      <c r="J156" t="s">
        <v>533</v>
      </c>
      <c r="K156" t="s">
        <v>534</v>
      </c>
      <c r="L156" t="s">
        <v>150</v>
      </c>
      <c r="P156" t="s">
        <v>561</v>
      </c>
      <c r="R156" t="s">
        <v>89</v>
      </c>
      <c r="S156" t="s">
        <v>20</v>
      </c>
    </row>
    <row r="157" spans="1:19" x14ac:dyDescent="0.25">
      <c r="A157" t="str">
        <f>CONCATENATE(Tabla2[[#This Row],[name_club1]]," vs ",Tabla2[[#This Row],[match_filter]])</f>
        <v>ACARSUR vs MANCHEGO TALENTS_4</v>
      </c>
      <c r="B157" t="s">
        <v>559</v>
      </c>
      <c r="C157" t="s">
        <v>92</v>
      </c>
      <c r="D157" t="s">
        <v>560</v>
      </c>
      <c r="E157" s="1">
        <v>4</v>
      </c>
      <c r="F157" t="str">
        <f>CONCATENATE(Tabla2[[#This Row],[name_club2]],"_",Tabla2[[#This Row],[npartido]])</f>
        <v>MANCHEGO TALENTS_4</v>
      </c>
      <c r="G157" s="5" t="s">
        <v>558</v>
      </c>
      <c r="H157" t="s">
        <v>571</v>
      </c>
      <c r="I157" t="s">
        <v>651</v>
      </c>
      <c r="J157" t="s">
        <v>652</v>
      </c>
      <c r="K157" t="s">
        <v>653</v>
      </c>
      <c r="L157" t="s">
        <v>650</v>
      </c>
      <c r="P157" t="s">
        <v>566</v>
      </c>
      <c r="R157" t="s">
        <v>89</v>
      </c>
      <c r="S157" t="s">
        <v>20</v>
      </c>
    </row>
    <row r="158" spans="1:19" x14ac:dyDescent="0.25">
      <c r="A158" t="str">
        <f>CONCATENATE(Tabla2[[#This Row],[name_club1]]," vs ",Tabla2[[#This Row],[match_filter]])</f>
        <v>ACARSUR vs MANCHEGO TALENTS_4</v>
      </c>
      <c r="B158" t="s">
        <v>559</v>
      </c>
      <c r="C158" t="s">
        <v>92</v>
      </c>
      <c r="D158" t="s">
        <v>560</v>
      </c>
      <c r="E158" s="1">
        <v>4</v>
      </c>
      <c r="F158" t="str">
        <f>CONCATENATE(Tabla2[[#This Row],[name_club2]],"_",Tabla2[[#This Row],[npartido]])</f>
        <v>MANCHEGO TALENTS_4</v>
      </c>
      <c r="G158" s="5" t="s">
        <v>558</v>
      </c>
      <c r="H158" t="s">
        <v>17</v>
      </c>
      <c r="I158" t="s">
        <v>654</v>
      </c>
      <c r="J158" t="s">
        <v>655</v>
      </c>
      <c r="K158" t="s">
        <v>656</v>
      </c>
      <c r="L158" t="s">
        <v>657</v>
      </c>
      <c r="M158" t="s">
        <v>23</v>
      </c>
      <c r="P158" t="s">
        <v>566</v>
      </c>
      <c r="R158" t="s">
        <v>89</v>
      </c>
      <c r="S158" t="s">
        <v>20</v>
      </c>
    </row>
    <row r="159" spans="1:19" x14ac:dyDescent="0.25">
      <c r="A159" t="str">
        <f>CONCATENATE(Tabla2[[#This Row],[name_club1]]," vs ",Tabla2[[#This Row],[match_filter]])</f>
        <v>ACARSUR vs MANCHEGO TALENTS_4</v>
      </c>
      <c r="B159" t="s">
        <v>559</v>
      </c>
      <c r="C159" t="s">
        <v>92</v>
      </c>
      <c r="D159" t="s">
        <v>560</v>
      </c>
      <c r="E159" s="1">
        <v>4</v>
      </c>
      <c r="F159" t="str">
        <f>CONCATENATE(Tabla2[[#This Row],[name_club2]],"_",Tabla2[[#This Row],[npartido]])</f>
        <v>MANCHEGO TALENTS_4</v>
      </c>
      <c r="G159" s="5" t="s">
        <v>558</v>
      </c>
      <c r="H159" t="s">
        <v>22</v>
      </c>
      <c r="I159" t="s">
        <v>535</v>
      </c>
      <c r="J159" t="s">
        <v>536</v>
      </c>
      <c r="K159" t="s">
        <v>537</v>
      </c>
      <c r="L159" t="s">
        <v>538</v>
      </c>
      <c r="P159" t="s">
        <v>561</v>
      </c>
      <c r="R159" t="s">
        <v>89</v>
      </c>
      <c r="S159" t="s">
        <v>20</v>
      </c>
    </row>
    <row r="160" spans="1:19" x14ac:dyDescent="0.25">
      <c r="A160" t="str">
        <f>CONCATENATE(Tabla2[[#This Row],[name_club1]]," vs ",Tabla2[[#This Row],[match_filter]])</f>
        <v>ACARSUR vs MANCHEGO TALENTS_4</v>
      </c>
      <c r="B160" t="s">
        <v>559</v>
      </c>
      <c r="C160" t="s">
        <v>92</v>
      </c>
      <c r="D160" t="s">
        <v>560</v>
      </c>
      <c r="E160" s="1">
        <v>4</v>
      </c>
      <c r="F160" t="str">
        <f>CONCATENATE(Tabla2[[#This Row],[name_club2]],"_",Tabla2[[#This Row],[npartido]])</f>
        <v>MANCHEGO TALENTS_4</v>
      </c>
      <c r="G160" s="5" t="s">
        <v>558</v>
      </c>
      <c r="H160" t="s">
        <v>658</v>
      </c>
      <c r="I160" t="s">
        <v>539</v>
      </c>
      <c r="J160" t="s">
        <v>540</v>
      </c>
      <c r="K160" t="s">
        <v>541</v>
      </c>
      <c r="L160" t="s">
        <v>542</v>
      </c>
      <c r="P160" t="s">
        <v>561</v>
      </c>
      <c r="R160" t="s">
        <v>89</v>
      </c>
      <c r="S160" t="s">
        <v>20</v>
      </c>
    </row>
    <row r="161" spans="1:19" x14ac:dyDescent="0.25">
      <c r="A161" t="str">
        <f>CONCATENATE(Tabla2[[#This Row],[name_club1]]," vs ",Tabla2[[#This Row],[match_filter]])</f>
        <v>ACARSUR vs MANCHEGO TALENTS_4</v>
      </c>
      <c r="B161" t="s">
        <v>559</v>
      </c>
      <c r="C161" t="s">
        <v>92</v>
      </c>
      <c r="D161" t="s">
        <v>560</v>
      </c>
      <c r="E161" s="1">
        <v>4</v>
      </c>
      <c r="F161" t="str">
        <f>CONCATENATE(Tabla2[[#This Row],[name_club2]],"_",Tabla2[[#This Row],[npartido]])</f>
        <v>MANCHEGO TALENTS_4</v>
      </c>
      <c r="G161" s="5" t="s">
        <v>558</v>
      </c>
      <c r="H161" t="s">
        <v>24</v>
      </c>
      <c r="I161" t="s">
        <v>543</v>
      </c>
      <c r="J161" t="s">
        <v>544</v>
      </c>
      <c r="K161" t="s">
        <v>545</v>
      </c>
      <c r="L161" t="s">
        <v>138</v>
      </c>
      <c r="M161" t="s">
        <v>18</v>
      </c>
      <c r="P161" t="s">
        <v>561</v>
      </c>
      <c r="R161" t="s">
        <v>89</v>
      </c>
      <c r="S161" t="s">
        <v>20</v>
      </c>
    </row>
    <row r="162" spans="1:19" x14ac:dyDescent="0.25">
      <c r="A162" t="str">
        <f>CONCATENATE(Tabla2[[#This Row],[name_club1]]," vs ",Tabla2[[#This Row],[match_filter]])</f>
        <v>ACARSUR vs MANCHEGO TALENTS_4</v>
      </c>
      <c r="B162" t="s">
        <v>559</v>
      </c>
      <c r="C162" t="s">
        <v>92</v>
      </c>
      <c r="D162" t="s">
        <v>560</v>
      </c>
      <c r="E162" s="1">
        <v>4</v>
      </c>
      <c r="F162" t="str">
        <f>CONCATENATE(Tabla2[[#This Row],[name_club2]],"_",Tabla2[[#This Row],[npartido]])</f>
        <v>MANCHEGO TALENTS_4</v>
      </c>
      <c r="G162" s="5" t="s">
        <v>558</v>
      </c>
      <c r="H162" t="s">
        <v>29</v>
      </c>
      <c r="I162" t="s">
        <v>546</v>
      </c>
      <c r="J162" t="s">
        <v>547</v>
      </c>
      <c r="K162" t="s">
        <v>548</v>
      </c>
      <c r="L162" t="s">
        <v>542</v>
      </c>
      <c r="M162" t="s">
        <v>23</v>
      </c>
      <c r="P162" t="s">
        <v>561</v>
      </c>
      <c r="R162" t="s">
        <v>89</v>
      </c>
      <c r="S162" t="s">
        <v>20</v>
      </c>
    </row>
    <row r="163" spans="1:19" x14ac:dyDescent="0.25">
      <c r="A163" t="str">
        <f>CONCATENATE(Tabla2[[#This Row],[name_club1]]," vs ",Tabla2[[#This Row],[match_filter]])</f>
        <v>ACARSUR vs MANCHEGO TALENTS_4</v>
      </c>
      <c r="B163" t="s">
        <v>559</v>
      </c>
      <c r="C163" t="s">
        <v>92</v>
      </c>
      <c r="D163" t="s">
        <v>560</v>
      </c>
      <c r="E163" s="1">
        <v>4</v>
      </c>
      <c r="F163" t="str">
        <f>CONCATENATE(Tabla2[[#This Row],[name_club2]],"_",Tabla2[[#This Row],[npartido]])</f>
        <v>MANCHEGO TALENTS_4</v>
      </c>
      <c r="G163" s="5" t="s">
        <v>558</v>
      </c>
      <c r="H163" t="s">
        <v>571</v>
      </c>
      <c r="I163" t="s">
        <v>659</v>
      </c>
      <c r="J163" t="s">
        <v>660</v>
      </c>
      <c r="K163" t="s">
        <v>661</v>
      </c>
      <c r="L163" t="s">
        <v>662</v>
      </c>
      <c r="P163" t="s">
        <v>566</v>
      </c>
      <c r="R163" t="s">
        <v>89</v>
      </c>
      <c r="S163" t="s">
        <v>20</v>
      </c>
    </row>
    <row r="164" spans="1:19" x14ac:dyDescent="0.25">
      <c r="A164" t="str">
        <f>CONCATENATE(Tabla2[[#This Row],[name_club1]]," vs ",Tabla2[[#This Row],[match_filter]])</f>
        <v>ACARSUR vs MANCHEGO TALENTS_4</v>
      </c>
      <c r="B164" t="s">
        <v>559</v>
      </c>
      <c r="C164" t="s">
        <v>92</v>
      </c>
      <c r="D164" t="s">
        <v>560</v>
      </c>
      <c r="E164" s="1">
        <v>4</v>
      </c>
      <c r="F164" t="str">
        <f>CONCATENATE(Tabla2[[#This Row],[name_club2]],"_",Tabla2[[#This Row],[npartido]])</f>
        <v>MANCHEGO TALENTS_4</v>
      </c>
      <c r="G164" s="5" t="s">
        <v>558</v>
      </c>
      <c r="H164" t="s">
        <v>29</v>
      </c>
      <c r="I164" t="s">
        <v>549</v>
      </c>
      <c r="J164" t="s">
        <v>550</v>
      </c>
      <c r="K164" t="s">
        <v>551</v>
      </c>
      <c r="L164" t="s">
        <v>552</v>
      </c>
      <c r="M164" t="s">
        <v>23</v>
      </c>
      <c r="P164" t="s">
        <v>561</v>
      </c>
      <c r="R164" t="s">
        <v>89</v>
      </c>
      <c r="S164" t="s">
        <v>20</v>
      </c>
    </row>
    <row r="165" spans="1:19" x14ac:dyDescent="0.25">
      <c r="A165" t="str">
        <f>CONCATENATE(Tabla2[[#This Row],[name_club1]]," vs ",Tabla2[[#This Row],[match_filter]])</f>
        <v>ACARSUR vs MANCHEGO TALENTS_4</v>
      </c>
      <c r="B165" t="s">
        <v>559</v>
      </c>
      <c r="C165" t="s">
        <v>92</v>
      </c>
      <c r="D165" t="s">
        <v>560</v>
      </c>
      <c r="E165" s="1">
        <v>4</v>
      </c>
      <c r="F165" t="str">
        <f>CONCATENATE(Tabla2[[#This Row],[name_club2]],"_",Tabla2[[#This Row],[npartido]])</f>
        <v>MANCHEGO TALENTS_4</v>
      </c>
      <c r="G165" s="5" t="s">
        <v>558</v>
      </c>
      <c r="H165" t="s">
        <v>567</v>
      </c>
      <c r="I165" t="s">
        <v>663</v>
      </c>
      <c r="J165" t="s">
        <v>664</v>
      </c>
      <c r="K165" t="s">
        <v>665</v>
      </c>
      <c r="L165" t="s">
        <v>666</v>
      </c>
      <c r="M165" t="s">
        <v>18</v>
      </c>
      <c r="P165" t="s">
        <v>561</v>
      </c>
      <c r="R165" t="s">
        <v>89</v>
      </c>
      <c r="S165" t="s">
        <v>20</v>
      </c>
    </row>
    <row r="166" spans="1:19" x14ac:dyDescent="0.25">
      <c r="A166" t="str">
        <f>CONCATENATE(Tabla2[[#This Row],[name_club1]]," vs ",Tabla2[[#This Row],[match_filter]])</f>
        <v>ACARSUR vs MANCHEGO TALENTS_4</v>
      </c>
      <c r="B166" t="s">
        <v>559</v>
      </c>
      <c r="C166" t="s">
        <v>92</v>
      </c>
      <c r="D166" t="s">
        <v>560</v>
      </c>
      <c r="E166" s="1">
        <v>4</v>
      </c>
      <c r="F166" t="str">
        <f>CONCATENATE(Tabla2[[#This Row],[name_club2]],"_",Tabla2[[#This Row],[npartido]])</f>
        <v>MANCHEGO TALENTS_4</v>
      </c>
      <c r="G166" s="5" t="s">
        <v>558</v>
      </c>
      <c r="H166" t="s">
        <v>567</v>
      </c>
      <c r="I166" t="s">
        <v>667</v>
      </c>
      <c r="J166" t="s">
        <v>668</v>
      </c>
      <c r="K166" t="s">
        <v>669</v>
      </c>
      <c r="L166" t="s">
        <v>670</v>
      </c>
      <c r="M166" t="s">
        <v>23</v>
      </c>
      <c r="P166" t="s">
        <v>561</v>
      </c>
      <c r="R166" t="s">
        <v>89</v>
      </c>
      <c r="S166" t="s">
        <v>20</v>
      </c>
    </row>
    <row r="167" spans="1:19" x14ac:dyDescent="0.25">
      <c r="A167" t="str">
        <f>CONCATENATE(Tabla2[[#This Row],[name_club1]]," vs ",Tabla2[[#This Row],[match_filter]])</f>
        <v>ACARSUR vs MANCHEGO TALENTS_4</v>
      </c>
      <c r="B167" t="s">
        <v>559</v>
      </c>
      <c r="C167" t="s">
        <v>92</v>
      </c>
      <c r="D167" t="s">
        <v>560</v>
      </c>
      <c r="E167" s="1">
        <v>4</v>
      </c>
      <c r="F167" t="str">
        <f>CONCATENATE(Tabla2[[#This Row],[name_club2]],"_",Tabla2[[#This Row],[npartido]])</f>
        <v>MANCHEGO TALENTS_4</v>
      </c>
      <c r="G167" s="5" t="s">
        <v>558</v>
      </c>
      <c r="H167" t="s">
        <v>43</v>
      </c>
      <c r="I167" t="s">
        <v>173</v>
      </c>
      <c r="J167" t="s">
        <v>553</v>
      </c>
      <c r="K167" t="s">
        <v>554</v>
      </c>
      <c r="L167" t="s">
        <v>555</v>
      </c>
      <c r="M167" t="s">
        <v>23</v>
      </c>
      <c r="P167" t="s">
        <v>561</v>
      </c>
      <c r="R167" t="s">
        <v>89</v>
      </c>
      <c r="S167" t="s">
        <v>20</v>
      </c>
    </row>
    <row r="168" spans="1:19" x14ac:dyDescent="0.25">
      <c r="A168" t="str">
        <f>CONCATENATE(Tabla2[[#This Row],[name_club1]]," vs ",Tabla2[[#This Row],[match_filter]])</f>
        <v>ACARSUR vs MANCHEGO TALENTS_4</v>
      </c>
      <c r="B168" t="s">
        <v>559</v>
      </c>
      <c r="C168" t="s">
        <v>92</v>
      </c>
      <c r="D168" t="s">
        <v>560</v>
      </c>
      <c r="E168" s="1">
        <v>4</v>
      </c>
      <c r="F168" t="str">
        <f>CONCATENATE(Tabla2[[#This Row],[name_club2]],"_",Tabla2[[#This Row],[npartido]])</f>
        <v>MANCHEGO TALENTS_4</v>
      </c>
      <c r="G168" s="5" t="s">
        <v>558</v>
      </c>
      <c r="H168" t="s">
        <v>17</v>
      </c>
      <c r="I168" t="s">
        <v>85</v>
      </c>
      <c r="J168" t="s">
        <v>556</v>
      </c>
      <c r="K168" t="s">
        <v>554</v>
      </c>
      <c r="L168" t="s">
        <v>557</v>
      </c>
      <c r="M168" t="s">
        <v>18</v>
      </c>
      <c r="P168" t="s">
        <v>561</v>
      </c>
      <c r="R168" t="s">
        <v>89</v>
      </c>
      <c r="S168" t="s">
        <v>20</v>
      </c>
    </row>
    <row r="169" spans="1:19" x14ac:dyDescent="0.25">
      <c r="A169" t="str">
        <f>CONCATENATE(Tabla2[[#This Row],[name_club1]]," vs ",Tabla2[[#This Row],[match_filter]])</f>
        <v>ACARSUR vs MANCHEGO TALENTS_4</v>
      </c>
      <c r="B169" t="s">
        <v>559</v>
      </c>
      <c r="C169" t="s">
        <v>92</v>
      </c>
      <c r="D169" t="s">
        <v>560</v>
      </c>
      <c r="E169" s="1">
        <v>4</v>
      </c>
      <c r="F169" t="str">
        <f>CONCATENATE(Tabla2[[#This Row],[name_club2]],"_",Tabla2[[#This Row],[npartido]])</f>
        <v>MANCHEGO TALENTS_4</v>
      </c>
      <c r="G169" s="5" t="s">
        <v>558</v>
      </c>
      <c r="H169" t="s">
        <v>567</v>
      </c>
      <c r="I169" t="s">
        <v>671</v>
      </c>
      <c r="J169" t="s">
        <v>672</v>
      </c>
      <c r="K169" t="s">
        <v>673</v>
      </c>
      <c r="L169" t="s">
        <v>674</v>
      </c>
      <c r="M169" t="s">
        <v>18</v>
      </c>
      <c r="P169" t="s">
        <v>561</v>
      </c>
      <c r="R169" t="s">
        <v>89</v>
      </c>
      <c r="S169" t="s">
        <v>20</v>
      </c>
    </row>
    <row r="170" spans="1:19" x14ac:dyDescent="0.25">
      <c r="A170" t="str">
        <f>CONCATENATE(Tabla2[[#This Row],[name_club1]]," vs ",Tabla2[[#This Row],[match_filter]])</f>
        <v>ACARSUR vs MANCHEGO TALENTS_4</v>
      </c>
      <c r="B170" t="s">
        <v>559</v>
      </c>
      <c r="C170" t="s">
        <v>92</v>
      </c>
      <c r="D170" t="s">
        <v>560</v>
      </c>
      <c r="E170" s="1">
        <v>4</v>
      </c>
      <c r="F170" t="str">
        <f>CONCATENATE(Tabla2[[#This Row],[name_club2]],"_",Tabla2[[#This Row],[npartido]])</f>
        <v>MANCHEGO TALENTS_4</v>
      </c>
      <c r="G170" s="5" t="s">
        <v>558</v>
      </c>
      <c r="H170" t="s">
        <v>567</v>
      </c>
      <c r="I170" t="s">
        <v>675</v>
      </c>
      <c r="J170" t="s">
        <v>676</v>
      </c>
      <c r="K170" t="s">
        <v>677</v>
      </c>
      <c r="L170" t="s">
        <v>678</v>
      </c>
      <c r="M170" t="s">
        <v>18</v>
      </c>
      <c r="P170" t="s">
        <v>561</v>
      </c>
      <c r="R170" t="s">
        <v>89</v>
      </c>
      <c r="S170" t="s">
        <v>20</v>
      </c>
    </row>
    <row r="171" spans="1:19" x14ac:dyDescent="0.25">
      <c r="A171" t="str">
        <f>CONCATENATE(Tabla2[[#This Row],[name_club1]]," vs ",Tabla2[[#This Row],[match_filter]])</f>
        <v>ACARSUR vs MANCHEGO TALENTS_5</v>
      </c>
      <c r="B171" t="s">
        <v>825</v>
      </c>
      <c r="C171" t="s">
        <v>92</v>
      </c>
      <c r="D171" t="s">
        <v>560</v>
      </c>
      <c r="E171" s="1">
        <v>5</v>
      </c>
      <c r="F171" t="str">
        <f>CONCATENATE(Tabla2[[#This Row],[name_club2]],"_",Tabla2[[#This Row],[npartido]])</f>
        <v>MANCHEGO TALENTS_5</v>
      </c>
      <c r="G171" s="5" t="s">
        <v>826</v>
      </c>
      <c r="H171" t="s">
        <v>17</v>
      </c>
      <c r="I171" t="s">
        <v>827</v>
      </c>
      <c r="J171" t="s">
        <v>828</v>
      </c>
      <c r="K171" t="s">
        <v>829</v>
      </c>
      <c r="L171" t="s">
        <v>830</v>
      </c>
      <c r="M171" t="s">
        <v>23</v>
      </c>
      <c r="P171" t="s">
        <v>1013</v>
      </c>
      <c r="R171" t="s">
        <v>19</v>
      </c>
      <c r="S171" t="s">
        <v>90</v>
      </c>
    </row>
    <row r="172" spans="1:19" x14ac:dyDescent="0.25">
      <c r="A172" t="str">
        <f>CONCATENATE(Tabla2[[#This Row],[name_club1]]," vs ",Tabla2[[#This Row],[match_filter]])</f>
        <v>ACARSUR vs MANCHEGO TALENTS_5</v>
      </c>
      <c r="B172" t="s">
        <v>825</v>
      </c>
      <c r="C172" t="s">
        <v>92</v>
      </c>
      <c r="D172" t="s">
        <v>560</v>
      </c>
      <c r="E172" s="1">
        <v>5</v>
      </c>
      <c r="F172" t="str">
        <f>CONCATENATE(Tabla2[[#This Row],[name_club2]],"_",Tabla2[[#This Row],[npartido]])</f>
        <v>MANCHEGO TALENTS_5</v>
      </c>
      <c r="G172" s="5" t="s">
        <v>826</v>
      </c>
      <c r="H172" t="s">
        <v>17</v>
      </c>
      <c r="I172" t="s">
        <v>679</v>
      </c>
      <c r="J172" t="s">
        <v>680</v>
      </c>
      <c r="K172" t="s">
        <v>681</v>
      </c>
      <c r="L172" t="s">
        <v>682</v>
      </c>
      <c r="M172" t="s">
        <v>18</v>
      </c>
      <c r="P172" t="s">
        <v>561</v>
      </c>
      <c r="R172" t="s">
        <v>19</v>
      </c>
      <c r="S172" t="s">
        <v>90</v>
      </c>
    </row>
    <row r="173" spans="1:19" x14ac:dyDescent="0.25">
      <c r="A173" t="str">
        <f>CONCATENATE(Tabla2[[#This Row],[name_club1]]," vs ",Tabla2[[#This Row],[match_filter]])</f>
        <v>ACARSUR vs MANCHEGO TALENTS_5</v>
      </c>
      <c r="B173" t="s">
        <v>825</v>
      </c>
      <c r="C173" t="s">
        <v>92</v>
      </c>
      <c r="D173" t="s">
        <v>560</v>
      </c>
      <c r="E173" s="1">
        <v>5</v>
      </c>
      <c r="F173" t="str">
        <f>CONCATENATE(Tabla2[[#This Row],[name_club2]],"_",Tabla2[[#This Row],[npartido]])</f>
        <v>MANCHEGO TALENTS_5</v>
      </c>
      <c r="G173" s="5" t="s">
        <v>826</v>
      </c>
      <c r="H173" t="s">
        <v>567</v>
      </c>
      <c r="I173" t="s">
        <v>831</v>
      </c>
      <c r="J173" t="s">
        <v>832</v>
      </c>
      <c r="K173" t="s">
        <v>833</v>
      </c>
      <c r="L173" t="s">
        <v>834</v>
      </c>
      <c r="M173" t="s">
        <v>18</v>
      </c>
      <c r="P173" t="s">
        <v>561</v>
      </c>
      <c r="R173" t="s">
        <v>19</v>
      </c>
      <c r="S173" t="s">
        <v>90</v>
      </c>
    </row>
    <row r="174" spans="1:19" x14ac:dyDescent="0.25">
      <c r="A174" t="str">
        <f>CONCATENATE(Tabla2[[#This Row],[name_club1]]," vs ",Tabla2[[#This Row],[match_filter]])</f>
        <v>ACARSUR vs MANCHEGO TALENTS_5</v>
      </c>
      <c r="B174" t="s">
        <v>825</v>
      </c>
      <c r="C174" t="s">
        <v>92</v>
      </c>
      <c r="D174" t="s">
        <v>560</v>
      </c>
      <c r="E174" s="1">
        <v>5</v>
      </c>
      <c r="F174" t="str">
        <f>CONCATENATE(Tabla2[[#This Row],[name_club2]],"_",Tabla2[[#This Row],[npartido]])</f>
        <v>MANCHEGO TALENTS_5</v>
      </c>
      <c r="G174" s="5" t="s">
        <v>826</v>
      </c>
      <c r="H174" t="s">
        <v>29</v>
      </c>
      <c r="I174" t="s">
        <v>683</v>
      </c>
      <c r="J174" t="s">
        <v>684</v>
      </c>
      <c r="K174" t="s">
        <v>685</v>
      </c>
      <c r="L174" t="s">
        <v>686</v>
      </c>
      <c r="M174" t="s">
        <v>23</v>
      </c>
      <c r="P174" t="s">
        <v>561</v>
      </c>
      <c r="R174" t="s">
        <v>19</v>
      </c>
      <c r="S174" t="s">
        <v>90</v>
      </c>
    </row>
    <row r="175" spans="1:19" x14ac:dyDescent="0.25">
      <c r="A175" t="str">
        <f>CONCATENATE(Tabla2[[#This Row],[name_club1]]," vs ",Tabla2[[#This Row],[match_filter]])</f>
        <v>ACARSUR vs MANCHEGO TALENTS_5</v>
      </c>
      <c r="B175" t="s">
        <v>825</v>
      </c>
      <c r="C175" t="s">
        <v>92</v>
      </c>
      <c r="D175" t="s">
        <v>560</v>
      </c>
      <c r="E175" s="1">
        <v>5</v>
      </c>
      <c r="F175" t="str">
        <f>CONCATENATE(Tabla2[[#This Row],[name_club2]],"_",Tabla2[[#This Row],[npartido]])</f>
        <v>MANCHEGO TALENTS_5</v>
      </c>
      <c r="G175" s="5" t="s">
        <v>826</v>
      </c>
      <c r="H175" t="s">
        <v>17</v>
      </c>
      <c r="I175" t="s">
        <v>687</v>
      </c>
      <c r="J175" t="s">
        <v>688</v>
      </c>
      <c r="K175" t="s">
        <v>689</v>
      </c>
      <c r="L175" t="s">
        <v>690</v>
      </c>
      <c r="M175" t="s">
        <v>23</v>
      </c>
      <c r="P175" t="s">
        <v>561</v>
      </c>
      <c r="R175" t="s">
        <v>19</v>
      </c>
      <c r="S175" t="s">
        <v>90</v>
      </c>
    </row>
    <row r="176" spans="1:19" x14ac:dyDescent="0.25">
      <c r="A176" t="str">
        <f>CONCATENATE(Tabla2[[#This Row],[name_club1]]," vs ",Tabla2[[#This Row],[match_filter]])</f>
        <v>ACARSUR vs MANCHEGO TALENTS_5</v>
      </c>
      <c r="B176" t="s">
        <v>825</v>
      </c>
      <c r="C176" t="s">
        <v>92</v>
      </c>
      <c r="D176" t="s">
        <v>560</v>
      </c>
      <c r="E176" s="1">
        <v>5</v>
      </c>
      <c r="F176" t="str">
        <f>CONCATENATE(Tabla2[[#This Row],[name_club2]],"_",Tabla2[[#This Row],[npartido]])</f>
        <v>MANCHEGO TALENTS_5</v>
      </c>
      <c r="G176" s="5" t="s">
        <v>826</v>
      </c>
      <c r="H176" t="s">
        <v>567</v>
      </c>
      <c r="I176" t="s">
        <v>835</v>
      </c>
      <c r="J176" t="s">
        <v>836</v>
      </c>
      <c r="K176" t="s">
        <v>837</v>
      </c>
      <c r="L176" t="s">
        <v>838</v>
      </c>
      <c r="M176" t="s">
        <v>23</v>
      </c>
      <c r="P176" t="s">
        <v>561</v>
      </c>
      <c r="R176" t="s">
        <v>19</v>
      </c>
      <c r="S176" t="s">
        <v>90</v>
      </c>
    </row>
    <row r="177" spans="1:19" x14ac:dyDescent="0.25">
      <c r="A177" t="str">
        <f>CONCATENATE(Tabla2[[#This Row],[name_club1]]," vs ",Tabla2[[#This Row],[match_filter]])</f>
        <v>ACARSUR vs MANCHEGO TALENTS_5</v>
      </c>
      <c r="B177" t="s">
        <v>825</v>
      </c>
      <c r="C177" t="s">
        <v>92</v>
      </c>
      <c r="D177" t="s">
        <v>560</v>
      </c>
      <c r="E177" s="1">
        <v>5</v>
      </c>
      <c r="F177" t="str">
        <f>CONCATENATE(Tabla2[[#This Row],[name_club2]],"_",Tabla2[[#This Row],[npartido]])</f>
        <v>MANCHEGO TALENTS_5</v>
      </c>
      <c r="G177" s="5" t="s">
        <v>826</v>
      </c>
      <c r="H177" t="s">
        <v>24</v>
      </c>
      <c r="I177" t="s">
        <v>839</v>
      </c>
      <c r="J177" t="s">
        <v>840</v>
      </c>
      <c r="K177" t="s">
        <v>841</v>
      </c>
      <c r="L177" t="s">
        <v>842</v>
      </c>
      <c r="M177" t="s">
        <v>18</v>
      </c>
      <c r="P177" t="s">
        <v>1013</v>
      </c>
      <c r="R177" t="s">
        <v>19</v>
      </c>
      <c r="S177" t="s">
        <v>90</v>
      </c>
    </row>
    <row r="178" spans="1:19" x14ac:dyDescent="0.25">
      <c r="A178" t="str">
        <f>CONCATENATE(Tabla2[[#This Row],[name_club1]]," vs ",Tabla2[[#This Row],[match_filter]])</f>
        <v>ACARSUR vs MANCHEGO TALENTS_5</v>
      </c>
      <c r="B178" t="s">
        <v>825</v>
      </c>
      <c r="C178" t="s">
        <v>92</v>
      </c>
      <c r="D178" t="s">
        <v>560</v>
      </c>
      <c r="E178" s="1">
        <v>5</v>
      </c>
      <c r="F178" t="str">
        <f>CONCATENATE(Tabla2[[#This Row],[name_club2]],"_",Tabla2[[#This Row],[npartido]])</f>
        <v>MANCHEGO TALENTS_5</v>
      </c>
      <c r="G178" s="5" t="s">
        <v>826</v>
      </c>
      <c r="H178" t="s">
        <v>17</v>
      </c>
      <c r="I178" t="s">
        <v>691</v>
      </c>
      <c r="J178" t="s">
        <v>692</v>
      </c>
      <c r="K178" t="s">
        <v>693</v>
      </c>
      <c r="L178" t="s">
        <v>694</v>
      </c>
      <c r="M178" t="s">
        <v>18</v>
      </c>
      <c r="P178" t="s">
        <v>561</v>
      </c>
      <c r="R178" t="s">
        <v>19</v>
      </c>
      <c r="S178" t="s">
        <v>90</v>
      </c>
    </row>
    <row r="179" spans="1:19" x14ac:dyDescent="0.25">
      <c r="A179" t="str">
        <f>CONCATENATE(Tabla2[[#This Row],[name_club1]]," vs ",Tabla2[[#This Row],[match_filter]])</f>
        <v>ACARSUR vs MANCHEGO TALENTS_5</v>
      </c>
      <c r="B179" t="s">
        <v>825</v>
      </c>
      <c r="C179" t="s">
        <v>92</v>
      </c>
      <c r="D179" t="s">
        <v>560</v>
      </c>
      <c r="E179" s="1">
        <v>5</v>
      </c>
      <c r="F179" t="str">
        <f>CONCATENATE(Tabla2[[#This Row],[name_club2]],"_",Tabla2[[#This Row],[npartido]])</f>
        <v>MANCHEGO TALENTS_5</v>
      </c>
      <c r="G179" s="5" t="s">
        <v>826</v>
      </c>
      <c r="H179" t="s">
        <v>26</v>
      </c>
      <c r="I179" t="s">
        <v>843</v>
      </c>
      <c r="J179" t="s">
        <v>844</v>
      </c>
      <c r="K179" t="s">
        <v>695</v>
      </c>
      <c r="L179" t="s">
        <v>845</v>
      </c>
      <c r="P179" t="s">
        <v>1013</v>
      </c>
      <c r="R179" t="s">
        <v>19</v>
      </c>
      <c r="S179" t="s">
        <v>90</v>
      </c>
    </row>
    <row r="180" spans="1:19" x14ac:dyDescent="0.25">
      <c r="A180" t="str">
        <f>CONCATENATE(Tabla2[[#This Row],[name_club1]]," vs ",Tabla2[[#This Row],[match_filter]])</f>
        <v>ACARSUR vs MANCHEGO TALENTS_5</v>
      </c>
      <c r="B180" t="s">
        <v>825</v>
      </c>
      <c r="C180" t="s">
        <v>92</v>
      </c>
      <c r="D180" t="s">
        <v>560</v>
      </c>
      <c r="E180" s="1">
        <v>5</v>
      </c>
      <c r="F180" t="str">
        <f>CONCATENATE(Tabla2[[#This Row],[name_club2]],"_",Tabla2[[#This Row],[npartido]])</f>
        <v>MANCHEGO TALENTS_5</v>
      </c>
      <c r="G180" s="5" t="s">
        <v>826</v>
      </c>
      <c r="H180" t="s">
        <v>29</v>
      </c>
      <c r="I180" t="s">
        <v>695</v>
      </c>
      <c r="J180" t="s">
        <v>696</v>
      </c>
      <c r="K180" t="s">
        <v>697</v>
      </c>
      <c r="L180" t="s">
        <v>698</v>
      </c>
      <c r="M180" t="s">
        <v>18</v>
      </c>
      <c r="P180" t="s">
        <v>561</v>
      </c>
      <c r="R180" t="s">
        <v>19</v>
      </c>
      <c r="S180" t="s">
        <v>90</v>
      </c>
    </row>
    <row r="181" spans="1:19" x14ac:dyDescent="0.25">
      <c r="A181" t="str">
        <f>CONCATENATE(Tabla2[[#This Row],[name_club1]]," vs ",Tabla2[[#This Row],[match_filter]])</f>
        <v>ACARSUR vs MANCHEGO TALENTS_5</v>
      </c>
      <c r="B181" t="s">
        <v>825</v>
      </c>
      <c r="C181" t="s">
        <v>92</v>
      </c>
      <c r="D181" t="s">
        <v>560</v>
      </c>
      <c r="E181" s="1">
        <v>5</v>
      </c>
      <c r="F181" t="str">
        <f>CONCATENATE(Tabla2[[#This Row],[name_club2]],"_",Tabla2[[#This Row],[npartido]])</f>
        <v>MANCHEGO TALENTS_5</v>
      </c>
      <c r="G181" s="5" t="s">
        <v>826</v>
      </c>
      <c r="H181" t="s">
        <v>28</v>
      </c>
      <c r="I181" t="s">
        <v>699</v>
      </c>
      <c r="J181" t="s">
        <v>700</v>
      </c>
      <c r="K181" t="s">
        <v>585</v>
      </c>
      <c r="L181" t="s">
        <v>701</v>
      </c>
      <c r="M181" t="s">
        <v>18</v>
      </c>
      <c r="P181" t="s">
        <v>561</v>
      </c>
      <c r="R181" t="s">
        <v>19</v>
      </c>
      <c r="S181" t="s">
        <v>90</v>
      </c>
    </row>
    <row r="182" spans="1:19" x14ac:dyDescent="0.25">
      <c r="A182" t="str">
        <f>CONCATENATE(Tabla2[[#This Row],[name_club1]]," vs ",Tabla2[[#This Row],[match_filter]])</f>
        <v>ACARSUR vs MANCHEGO TALENTS_5</v>
      </c>
      <c r="B182" t="s">
        <v>825</v>
      </c>
      <c r="C182" t="s">
        <v>92</v>
      </c>
      <c r="D182" t="s">
        <v>560</v>
      </c>
      <c r="E182" s="1">
        <v>5</v>
      </c>
      <c r="F182" t="str">
        <f>CONCATENATE(Tabla2[[#This Row],[name_club2]],"_",Tabla2[[#This Row],[npartido]])</f>
        <v>MANCHEGO TALENTS_5</v>
      </c>
      <c r="G182" s="5" t="s">
        <v>826</v>
      </c>
      <c r="H182" t="s">
        <v>17</v>
      </c>
      <c r="I182" t="s">
        <v>583</v>
      </c>
      <c r="J182" t="s">
        <v>702</v>
      </c>
      <c r="K182" t="s">
        <v>585</v>
      </c>
      <c r="L182" t="s">
        <v>703</v>
      </c>
      <c r="M182" t="s">
        <v>23</v>
      </c>
      <c r="N182" t="s">
        <v>824</v>
      </c>
      <c r="P182" t="s">
        <v>561</v>
      </c>
      <c r="R182" t="s">
        <v>19</v>
      </c>
      <c r="S182" t="s">
        <v>90</v>
      </c>
    </row>
    <row r="183" spans="1:19" x14ac:dyDescent="0.25">
      <c r="A183" t="str">
        <f>CONCATENATE(Tabla2[[#This Row],[name_club1]]," vs ",Tabla2[[#This Row],[match_filter]])</f>
        <v>ACARSUR vs MANCHEGO TALENTS_5</v>
      </c>
      <c r="B183" t="s">
        <v>825</v>
      </c>
      <c r="C183" t="s">
        <v>92</v>
      </c>
      <c r="D183" t="s">
        <v>560</v>
      </c>
      <c r="E183" s="1">
        <v>5</v>
      </c>
      <c r="F183" t="str">
        <f>CONCATENATE(Tabla2[[#This Row],[name_club2]],"_",Tabla2[[#This Row],[npartido]])</f>
        <v>MANCHEGO TALENTS_5</v>
      </c>
      <c r="G183" s="5" t="s">
        <v>826</v>
      </c>
      <c r="H183" t="s">
        <v>29</v>
      </c>
      <c r="I183" t="s">
        <v>372</v>
      </c>
      <c r="J183" t="s">
        <v>373</v>
      </c>
      <c r="K183" t="s">
        <v>376</v>
      </c>
      <c r="L183" t="s">
        <v>846</v>
      </c>
      <c r="M183" t="s">
        <v>18</v>
      </c>
      <c r="P183" t="s">
        <v>1013</v>
      </c>
      <c r="R183" t="s">
        <v>19</v>
      </c>
      <c r="S183" t="s">
        <v>90</v>
      </c>
    </row>
    <row r="184" spans="1:19" x14ac:dyDescent="0.25">
      <c r="A184" t="str">
        <f>CONCATENATE(Tabla2[[#This Row],[name_club1]]," vs ",Tabla2[[#This Row],[match_filter]])</f>
        <v>ACARSUR vs MANCHEGO TALENTS_5</v>
      </c>
      <c r="B184" t="s">
        <v>825</v>
      </c>
      <c r="C184" t="s">
        <v>92</v>
      </c>
      <c r="D184" t="s">
        <v>560</v>
      </c>
      <c r="E184" s="1">
        <v>5</v>
      </c>
      <c r="F184" t="str">
        <f>CONCATENATE(Tabla2[[#This Row],[name_club2]],"_",Tabla2[[#This Row],[npartido]])</f>
        <v>MANCHEGO TALENTS_5</v>
      </c>
      <c r="G184" s="5" t="s">
        <v>826</v>
      </c>
      <c r="H184" t="s">
        <v>452</v>
      </c>
      <c r="I184" t="s">
        <v>847</v>
      </c>
      <c r="J184" t="s">
        <v>848</v>
      </c>
      <c r="K184" t="s">
        <v>849</v>
      </c>
      <c r="L184" t="s">
        <v>850</v>
      </c>
      <c r="M184" t="s">
        <v>23</v>
      </c>
      <c r="P184" t="s">
        <v>1013</v>
      </c>
      <c r="R184" t="s">
        <v>19</v>
      </c>
      <c r="S184" t="s">
        <v>90</v>
      </c>
    </row>
    <row r="185" spans="1:19" x14ac:dyDescent="0.25">
      <c r="A185" t="str">
        <f>CONCATENATE(Tabla2[[#This Row],[name_club1]]," vs ",Tabla2[[#This Row],[match_filter]])</f>
        <v>ACARSUR vs MANCHEGO TALENTS_5</v>
      </c>
      <c r="B185" t="s">
        <v>825</v>
      </c>
      <c r="C185" t="s">
        <v>92</v>
      </c>
      <c r="D185" t="s">
        <v>560</v>
      </c>
      <c r="E185" s="1">
        <v>5</v>
      </c>
      <c r="F185" t="str">
        <f>CONCATENATE(Tabla2[[#This Row],[name_club2]],"_",Tabla2[[#This Row],[npartido]])</f>
        <v>MANCHEGO TALENTS_5</v>
      </c>
      <c r="G185" s="5" t="s">
        <v>826</v>
      </c>
      <c r="H185" t="s">
        <v>17</v>
      </c>
      <c r="I185" t="s">
        <v>851</v>
      </c>
      <c r="J185" t="s">
        <v>852</v>
      </c>
      <c r="K185" t="s">
        <v>853</v>
      </c>
      <c r="L185" t="s">
        <v>854</v>
      </c>
      <c r="M185" t="s">
        <v>18</v>
      </c>
      <c r="P185" t="s">
        <v>1013</v>
      </c>
      <c r="R185" t="s">
        <v>19</v>
      </c>
      <c r="S185" t="s">
        <v>90</v>
      </c>
    </row>
    <row r="186" spans="1:19" x14ac:dyDescent="0.25">
      <c r="A186" t="str">
        <f>CONCATENATE(Tabla2[[#This Row],[name_club1]]," vs ",Tabla2[[#This Row],[match_filter]])</f>
        <v>ACARSUR vs MANCHEGO TALENTS_5</v>
      </c>
      <c r="B186" t="s">
        <v>825</v>
      </c>
      <c r="C186" t="s">
        <v>92</v>
      </c>
      <c r="D186" t="s">
        <v>560</v>
      </c>
      <c r="E186" s="1">
        <v>5</v>
      </c>
      <c r="F186" t="str">
        <f>CONCATENATE(Tabla2[[#This Row],[name_club2]],"_",Tabla2[[#This Row],[npartido]])</f>
        <v>MANCHEGO TALENTS_5</v>
      </c>
      <c r="G186" s="5" t="s">
        <v>826</v>
      </c>
      <c r="H186" t="s">
        <v>704</v>
      </c>
      <c r="I186" t="s">
        <v>705</v>
      </c>
      <c r="J186" t="s">
        <v>706</v>
      </c>
      <c r="K186" t="s">
        <v>707</v>
      </c>
      <c r="L186" t="s">
        <v>708</v>
      </c>
      <c r="M186" t="s">
        <v>18</v>
      </c>
      <c r="P186" t="s">
        <v>561</v>
      </c>
      <c r="R186" t="s">
        <v>19</v>
      </c>
      <c r="S186" t="s">
        <v>90</v>
      </c>
    </row>
    <row r="187" spans="1:19" x14ac:dyDescent="0.25">
      <c r="A187" t="str">
        <f>CONCATENATE(Tabla2[[#This Row],[name_club1]]," vs ",Tabla2[[#This Row],[match_filter]])</f>
        <v>ACARSUR vs MANCHEGO TALENTS_5</v>
      </c>
      <c r="B187" t="s">
        <v>825</v>
      </c>
      <c r="C187" t="s">
        <v>92</v>
      </c>
      <c r="D187" t="s">
        <v>560</v>
      </c>
      <c r="E187" s="1">
        <v>5</v>
      </c>
      <c r="F187" t="str">
        <f>CONCATENATE(Tabla2[[#This Row],[name_club2]],"_",Tabla2[[#This Row],[npartido]])</f>
        <v>MANCHEGO TALENTS_5</v>
      </c>
      <c r="G187" s="5" t="s">
        <v>826</v>
      </c>
      <c r="H187" t="s">
        <v>26</v>
      </c>
      <c r="I187" t="s">
        <v>705</v>
      </c>
      <c r="J187" t="s">
        <v>709</v>
      </c>
      <c r="K187" t="s">
        <v>710</v>
      </c>
      <c r="L187" t="s">
        <v>711</v>
      </c>
      <c r="P187" t="s">
        <v>561</v>
      </c>
      <c r="R187" t="s">
        <v>19</v>
      </c>
      <c r="S187" t="s">
        <v>90</v>
      </c>
    </row>
    <row r="188" spans="1:19" x14ac:dyDescent="0.25">
      <c r="A188" t="str">
        <f>CONCATENATE(Tabla2[[#This Row],[name_club1]]," vs ",Tabla2[[#This Row],[match_filter]])</f>
        <v>ACARSUR vs MANCHEGO TALENTS_5</v>
      </c>
      <c r="B188" t="s">
        <v>825</v>
      </c>
      <c r="C188" t="s">
        <v>92</v>
      </c>
      <c r="D188" t="s">
        <v>560</v>
      </c>
      <c r="E188" s="1">
        <v>5</v>
      </c>
      <c r="F188" t="str">
        <f>CONCATENATE(Tabla2[[#This Row],[name_club2]],"_",Tabla2[[#This Row],[npartido]])</f>
        <v>MANCHEGO TALENTS_5</v>
      </c>
      <c r="G188" s="5" t="s">
        <v>826</v>
      </c>
      <c r="H188" t="s">
        <v>24</v>
      </c>
      <c r="I188" t="s">
        <v>214</v>
      </c>
      <c r="J188" t="s">
        <v>215</v>
      </c>
      <c r="K188" t="s">
        <v>219</v>
      </c>
      <c r="L188" t="s">
        <v>712</v>
      </c>
      <c r="M188" t="s">
        <v>23</v>
      </c>
      <c r="P188" t="s">
        <v>561</v>
      </c>
      <c r="R188" t="s">
        <v>19</v>
      </c>
      <c r="S188" t="s">
        <v>90</v>
      </c>
    </row>
    <row r="189" spans="1:19" x14ac:dyDescent="0.25">
      <c r="A189" t="str">
        <f>CONCATENATE(Tabla2[[#This Row],[name_club1]]," vs ",Tabla2[[#This Row],[match_filter]])</f>
        <v>ACARSUR vs MANCHEGO TALENTS_5</v>
      </c>
      <c r="B189" t="s">
        <v>825</v>
      </c>
      <c r="C189" t="s">
        <v>92</v>
      </c>
      <c r="D189" t="s">
        <v>560</v>
      </c>
      <c r="E189" s="1">
        <v>5</v>
      </c>
      <c r="F189" t="str">
        <f>CONCATENATE(Tabla2[[#This Row],[name_club2]],"_",Tabla2[[#This Row],[npartido]])</f>
        <v>MANCHEGO TALENTS_5</v>
      </c>
      <c r="G189" s="5" t="s">
        <v>826</v>
      </c>
      <c r="H189" t="s">
        <v>704</v>
      </c>
      <c r="I189" t="s">
        <v>713</v>
      </c>
      <c r="J189" t="s">
        <v>714</v>
      </c>
      <c r="K189" t="s">
        <v>715</v>
      </c>
      <c r="L189" t="s">
        <v>716</v>
      </c>
      <c r="M189" t="s">
        <v>23</v>
      </c>
      <c r="P189" t="s">
        <v>561</v>
      </c>
      <c r="R189" t="s">
        <v>19</v>
      </c>
      <c r="S189" t="s">
        <v>90</v>
      </c>
    </row>
    <row r="190" spans="1:19" x14ac:dyDescent="0.25">
      <c r="A190" t="str">
        <f>CONCATENATE(Tabla2[[#This Row],[name_club1]]," vs ",Tabla2[[#This Row],[match_filter]])</f>
        <v>ACARSUR vs MANCHEGO TALENTS_5</v>
      </c>
      <c r="B190" t="s">
        <v>825</v>
      </c>
      <c r="C190" t="s">
        <v>92</v>
      </c>
      <c r="D190" t="s">
        <v>560</v>
      </c>
      <c r="E190" s="1">
        <v>5</v>
      </c>
      <c r="F190" t="str">
        <f>CONCATENATE(Tabla2[[#This Row],[name_club2]],"_",Tabla2[[#This Row],[npartido]])</f>
        <v>MANCHEGO TALENTS_5</v>
      </c>
      <c r="G190" s="5" t="s">
        <v>826</v>
      </c>
      <c r="H190" t="s">
        <v>567</v>
      </c>
      <c r="I190" t="s">
        <v>855</v>
      </c>
      <c r="J190" t="s">
        <v>856</v>
      </c>
      <c r="K190" t="s">
        <v>857</v>
      </c>
      <c r="L190" t="s">
        <v>858</v>
      </c>
      <c r="M190" t="s">
        <v>18</v>
      </c>
      <c r="P190" t="s">
        <v>561</v>
      </c>
      <c r="R190" t="s">
        <v>19</v>
      </c>
      <c r="S190" t="s">
        <v>90</v>
      </c>
    </row>
    <row r="191" spans="1:19" x14ac:dyDescent="0.25">
      <c r="A191" t="str">
        <f>CONCATENATE(Tabla2[[#This Row],[name_club1]]," vs ",Tabla2[[#This Row],[match_filter]])</f>
        <v>ACARSUR vs MANCHEGO TALENTS_5</v>
      </c>
      <c r="B191" t="s">
        <v>825</v>
      </c>
      <c r="C191" t="s">
        <v>92</v>
      </c>
      <c r="D191" t="s">
        <v>560</v>
      </c>
      <c r="E191" s="1">
        <v>5</v>
      </c>
      <c r="F191" t="str">
        <f>CONCATENATE(Tabla2[[#This Row],[name_club2]],"_",Tabla2[[#This Row],[npartido]])</f>
        <v>MANCHEGO TALENTS_5</v>
      </c>
      <c r="G191" s="5" t="s">
        <v>826</v>
      </c>
      <c r="H191" t="s">
        <v>17</v>
      </c>
      <c r="I191" t="s">
        <v>717</v>
      </c>
      <c r="J191" t="s">
        <v>718</v>
      </c>
      <c r="K191" t="s">
        <v>719</v>
      </c>
      <c r="L191" t="s">
        <v>720</v>
      </c>
      <c r="M191" t="s">
        <v>18</v>
      </c>
      <c r="P191" t="s">
        <v>561</v>
      </c>
      <c r="R191" t="s">
        <v>19</v>
      </c>
      <c r="S191" t="s">
        <v>90</v>
      </c>
    </row>
    <row r="192" spans="1:19" x14ac:dyDescent="0.25">
      <c r="A192" t="str">
        <f>CONCATENATE(Tabla2[[#This Row],[name_club1]]," vs ",Tabla2[[#This Row],[match_filter]])</f>
        <v>ACARSUR vs MANCHEGO TALENTS_5</v>
      </c>
      <c r="B192" t="s">
        <v>825</v>
      </c>
      <c r="C192" t="s">
        <v>92</v>
      </c>
      <c r="D192" t="s">
        <v>560</v>
      </c>
      <c r="E192" s="1">
        <v>5</v>
      </c>
      <c r="F192" t="str">
        <f>CONCATENATE(Tabla2[[#This Row],[name_club2]],"_",Tabla2[[#This Row],[npartido]])</f>
        <v>MANCHEGO TALENTS_5</v>
      </c>
      <c r="G192" s="5" t="s">
        <v>826</v>
      </c>
      <c r="H192" t="s">
        <v>17</v>
      </c>
      <c r="I192" t="s">
        <v>721</v>
      </c>
      <c r="J192" t="s">
        <v>722</v>
      </c>
      <c r="K192" t="s">
        <v>723</v>
      </c>
      <c r="L192" t="s">
        <v>724</v>
      </c>
      <c r="M192" t="s">
        <v>18</v>
      </c>
      <c r="N192" t="s">
        <v>824</v>
      </c>
      <c r="P192" t="s">
        <v>561</v>
      </c>
      <c r="R192" t="s">
        <v>19</v>
      </c>
      <c r="S192" t="s">
        <v>90</v>
      </c>
    </row>
    <row r="193" spans="1:19" x14ac:dyDescent="0.25">
      <c r="A193" t="str">
        <f>CONCATENATE(Tabla2[[#This Row],[name_club1]]," vs ",Tabla2[[#This Row],[match_filter]])</f>
        <v>ACARSUR vs MANCHEGO TALENTS_5</v>
      </c>
      <c r="B193" t="s">
        <v>825</v>
      </c>
      <c r="C193" t="s">
        <v>92</v>
      </c>
      <c r="D193" t="s">
        <v>560</v>
      </c>
      <c r="E193" s="1">
        <v>5</v>
      </c>
      <c r="F193" t="str">
        <f>CONCATENATE(Tabla2[[#This Row],[name_club2]],"_",Tabla2[[#This Row],[npartido]])</f>
        <v>MANCHEGO TALENTS_5</v>
      </c>
      <c r="G193" s="5" t="s">
        <v>826</v>
      </c>
      <c r="H193" t="s">
        <v>43</v>
      </c>
      <c r="I193" t="s">
        <v>725</v>
      </c>
      <c r="J193" t="s">
        <v>722</v>
      </c>
      <c r="K193" t="s">
        <v>726</v>
      </c>
      <c r="L193" t="s">
        <v>727</v>
      </c>
      <c r="P193" t="s">
        <v>561</v>
      </c>
      <c r="R193" t="s">
        <v>19</v>
      </c>
      <c r="S193" t="s">
        <v>90</v>
      </c>
    </row>
    <row r="194" spans="1:19" x14ac:dyDescent="0.25">
      <c r="A194" t="str">
        <f>CONCATENATE(Tabla2[[#This Row],[name_club1]]," vs ",Tabla2[[#This Row],[match_filter]])</f>
        <v>ACARSUR vs MANCHEGO TALENTS_5</v>
      </c>
      <c r="B194" t="s">
        <v>825</v>
      </c>
      <c r="C194" t="s">
        <v>92</v>
      </c>
      <c r="D194" t="s">
        <v>560</v>
      </c>
      <c r="E194" s="1">
        <v>5</v>
      </c>
      <c r="F194" t="str">
        <f>CONCATENATE(Tabla2[[#This Row],[name_club2]],"_",Tabla2[[#This Row],[npartido]])</f>
        <v>MANCHEGO TALENTS_5</v>
      </c>
      <c r="G194" s="5" t="s">
        <v>826</v>
      </c>
      <c r="H194" t="s">
        <v>567</v>
      </c>
      <c r="I194" t="s">
        <v>859</v>
      </c>
      <c r="J194" t="s">
        <v>860</v>
      </c>
      <c r="K194" t="s">
        <v>729</v>
      </c>
      <c r="L194" t="s">
        <v>838</v>
      </c>
      <c r="M194" t="s">
        <v>23</v>
      </c>
      <c r="P194" t="s">
        <v>561</v>
      </c>
      <c r="R194" t="s">
        <v>19</v>
      </c>
      <c r="S194" t="s">
        <v>90</v>
      </c>
    </row>
    <row r="195" spans="1:19" x14ac:dyDescent="0.25">
      <c r="A195" t="str">
        <f>CONCATENATE(Tabla2[[#This Row],[name_club1]]," vs ",Tabla2[[#This Row],[match_filter]])</f>
        <v>ACARSUR vs MANCHEGO TALENTS_5</v>
      </c>
      <c r="B195" t="s">
        <v>825</v>
      </c>
      <c r="C195" t="s">
        <v>92</v>
      </c>
      <c r="D195" t="s">
        <v>560</v>
      </c>
      <c r="E195" s="1">
        <v>5</v>
      </c>
      <c r="F195" t="str">
        <f>CONCATENATE(Tabla2[[#This Row],[name_club2]],"_",Tabla2[[#This Row],[npartido]])</f>
        <v>MANCHEGO TALENTS_5</v>
      </c>
      <c r="G195" s="5" t="s">
        <v>826</v>
      </c>
      <c r="H195" t="s">
        <v>17</v>
      </c>
      <c r="I195" t="s">
        <v>728</v>
      </c>
      <c r="J195" t="s">
        <v>729</v>
      </c>
      <c r="K195" t="s">
        <v>730</v>
      </c>
      <c r="L195" t="s">
        <v>731</v>
      </c>
      <c r="M195" t="s">
        <v>23</v>
      </c>
      <c r="P195" t="s">
        <v>561</v>
      </c>
      <c r="R195" t="s">
        <v>19</v>
      </c>
      <c r="S195" t="s">
        <v>90</v>
      </c>
    </row>
    <row r="196" spans="1:19" x14ac:dyDescent="0.25">
      <c r="A196" t="str">
        <f>CONCATENATE(Tabla2[[#This Row],[name_club1]]," vs ",Tabla2[[#This Row],[match_filter]])</f>
        <v>ACARSUR vs MANCHEGO TALENTS_5</v>
      </c>
      <c r="B196" t="s">
        <v>825</v>
      </c>
      <c r="C196" t="s">
        <v>92</v>
      </c>
      <c r="D196" t="s">
        <v>560</v>
      </c>
      <c r="E196" s="1">
        <v>5</v>
      </c>
      <c r="F196" t="str">
        <f>CONCATENATE(Tabla2[[#This Row],[name_club2]],"_",Tabla2[[#This Row],[npartido]])</f>
        <v>MANCHEGO TALENTS_5</v>
      </c>
      <c r="G196" s="5" t="s">
        <v>826</v>
      </c>
      <c r="H196" t="s">
        <v>43</v>
      </c>
      <c r="I196" t="s">
        <v>238</v>
      </c>
      <c r="J196" t="s">
        <v>861</v>
      </c>
      <c r="K196" t="s">
        <v>862</v>
      </c>
      <c r="L196" t="s">
        <v>863</v>
      </c>
      <c r="M196" t="s">
        <v>18</v>
      </c>
      <c r="P196" t="s">
        <v>1013</v>
      </c>
      <c r="R196" t="s">
        <v>19</v>
      </c>
      <c r="S196" t="s">
        <v>90</v>
      </c>
    </row>
    <row r="197" spans="1:19" x14ac:dyDescent="0.25">
      <c r="A197" t="str">
        <f>CONCATENATE(Tabla2[[#This Row],[name_club1]]," vs ",Tabla2[[#This Row],[match_filter]])</f>
        <v>ACARSUR vs MANCHEGO TALENTS_5</v>
      </c>
      <c r="B197" t="s">
        <v>825</v>
      </c>
      <c r="C197" t="s">
        <v>92</v>
      </c>
      <c r="D197" t="s">
        <v>560</v>
      </c>
      <c r="E197" s="1">
        <v>5</v>
      </c>
      <c r="F197" t="str">
        <f>CONCATENATE(Tabla2[[#This Row],[name_club2]],"_",Tabla2[[#This Row],[npartido]])</f>
        <v>MANCHEGO TALENTS_5</v>
      </c>
      <c r="G197" s="5" t="s">
        <v>826</v>
      </c>
      <c r="H197" t="s">
        <v>17</v>
      </c>
      <c r="I197" t="s">
        <v>864</v>
      </c>
      <c r="J197" t="s">
        <v>865</v>
      </c>
      <c r="K197" t="s">
        <v>862</v>
      </c>
      <c r="L197" t="s">
        <v>866</v>
      </c>
      <c r="M197" t="s">
        <v>18</v>
      </c>
      <c r="P197" t="s">
        <v>1013</v>
      </c>
      <c r="R197" t="s">
        <v>19</v>
      </c>
      <c r="S197" t="s">
        <v>90</v>
      </c>
    </row>
    <row r="198" spans="1:19" x14ac:dyDescent="0.25">
      <c r="A198" t="str">
        <f>CONCATENATE(Tabla2[[#This Row],[name_club1]]," vs ",Tabla2[[#This Row],[match_filter]])</f>
        <v>ACARSUR vs MANCHEGO TALENTS_5</v>
      </c>
      <c r="B198" t="s">
        <v>825</v>
      </c>
      <c r="C198" t="s">
        <v>92</v>
      </c>
      <c r="D198" t="s">
        <v>560</v>
      </c>
      <c r="E198" s="1">
        <v>5</v>
      </c>
      <c r="F198" t="str">
        <f>CONCATENATE(Tabla2[[#This Row],[name_club2]],"_",Tabla2[[#This Row],[npartido]])</f>
        <v>MANCHEGO TALENTS_5</v>
      </c>
      <c r="G198" s="5" t="s">
        <v>826</v>
      </c>
      <c r="H198" t="s">
        <v>22</v>
      </c>
      <c r="I198" t="s">
        <v>732</v>
      </c>
      <c r="J198" t="s">
        <v>733</v>
      </c>
      <c r="K198" t="s">
        <v>734</v>
      </c>
      <c r="L198" t="s">
        <v>735</v>
      </c>
      <c r="P198" t="s">
        <v>561</v>
      </c>
      <c r="R198" t="s">
        <v>19</v>
      </c>
      <c r="S198" t="s">
        <v>90</v>
      </c>
    </row>
    <row r="199" spans="1:19" x14ac:dyDescent="0.25">
      <c r="A199" t="str">
        <f>CONCATENATE(Tabla2[[#This Row],[name_club1]]," vs ",Tabla2[[#This Row],[match_filter]])</f>
        <v>ACARSUR vs MANCHEGO TALENTS_5</v>
      </c>
      <c r="B199" t="s">
        <v>825</v>
      </c>
      <c r="C199" t="s">
        <v>92</v>
      </c>
      <c r="D199" t="s">
        <v>560</v>
      </c>
      <c r="E199" s="1">
        <v>5</v>
      </c>
      <c r="F199" t="str">
        <f>CONCATENATE(Tabla2[[#This Row],[name_club2]],"_",Tabla2[[#This Row],[npartido]])</f>
        <v>MANCHEGO TALENTS_5</v>
      </c>
      <c r="G199" s="5" t="s">
        <v>826</v>
      </c>
      <c r="H199" t="s">
        <v>867</v>
      </c>
      <c r="I199" t="s">
        <v>868</v>
      </c>
      <c r="J199" t="s">
        <v>869</v>
      </c>
      <c r="K199" t="s">
        <v>870</v>
      </c>
      <c r="L199" t="s">
        <v>871</v>
      </c>
      <c r="P199" t="s">
        <v>1013</v>
      </c>
      <c r="R199" t="s">
        <v>19</v>
      </c>
      <c r="S199" t="s">
        <v>90</v>
      </c>
    </row>
    <row r="200" spans="1:19" x14ac:dyDescent="0.25">
      <c r="A200" t="str">
        <f>CONCATENATE(Tabla2[[#This Row],[name_club1]]," vs ",Tabla2[[#This Row],[match_filter]])</f>
        <v>ACARSUR vs MANCHEGO TALENTS_5</v>
      </c>
      <c r="B200" t="s">
        <v>825</v>
      </c>
      <c r="C200" t="s">
        <v>92</v>
      </c>
      <c r="D200" t="s">
        <v>560</v>
      </c>
      <c r="E200" s="1">
        <v>5</v>
      </c>
      <c r="F200" t="str">
        <f>CONCATENATE(Tabla2[[#This Row],[name_club2]],"_",Tabla2[[#This Row],[npartido]])</f>
        <v>MANCHEGO TALENTS_5</v>
      </c>
      <c r="G200" s="5" t="s">
        <v>826</v>
      </c>
      <c r="H200" t="s">
        <v>24</v>
      </c>
      <c r="I200" t="s">
        <v>872</v>
      </c>
      <c r="J200" t="s">
        <v>248</v>
      </c>
      <c r="K200" t="s">
        <v>873</v>
      </c>
      <c r="L200" t="s">
        <v>874</v>
      </c>
      <c r="M200" t="s">
        <v>18</v>
      </c>
      <c r="N200" t="s">
        <v>45</v>
      </c>
      <c r="P200" t="s">
        <v>1013</v>
      </c>
      <c r="R200" t="s">
        <v>19</v>
      </c>
      <c r="S200" t="s">
        <v>90</v>
      </c>
    </row>
    <row r="201" spans="1:19" x14ac:dyDescent="0.25">
      <c r="A201" t="str">
        <f>CONCATENATE(Tabla2[[#This Row],[name_club1]]," vs ",Tabla2[[#This Row],[match_filter]])</f>
        <v>ACARSUR vs MANCHEGO TALENTS_5</v>
      </c>
      <c r="B201" t="s">
        <v>825</v>
      </c>
      <c r="C201" t="s">
        <v>92</v>
      </c>
      <c r="D201" t="s">
        <v>560</v>
      </c>
      <c r="E201" s="1">
        <v>5</v>
      </c>
      <c r="F201" t="str">
        <f>CONCATENATE(Tabla2[[#This Row],[name_club2]],"_",Tabla2[[#This Row],[npartido]])</f>
        <v>MANCHEGO TALENTS_5</v>
      </c>
      <c r="G201" s="5" t="s">
        <v>826</v>
      </c>
      <c r="H201" t="s">
        <v>17</v>
      </c>
      <c r="I201" t="s">
        <v>875</v>
      </c>
      <c r="J201" t="s">
        <v>876</v>
      </c>
      <c r="K201" t="s">
        <v>877</v>
      </c>
      <c r="L201" t="s">
        <v>878</v>
      </c>
      <c r="M201" t="s">
        <v>18</v>
      </c>
      <c r="P201" t="s">
        <v>1013</v>
      </c>
      <c r="R201" t="s">
        <v>19</v>
      </c>
      <c r="S201" t="s">
        <v>90</v>
      </c>
    </row>
    <row r="202" spans="1:19" x14ac:dyDescent="0.25">
      <c r="A202" t="str">
        <f>CONCATENATE(Tabla2[[#This Row],[name_club1]]," vs ",Tabla2[[#This Row],[match_filter]])</f>
        <v>ACARSUR vs MANCHEGO TALENTS_5</v>
      </c>
      <c r="B202" t="s">
        <v>825</v>
      </c>
      <c r="C202" t="s">
        <v>92</v>
      </c>
      <c r="D202" t="s">
        <v>560</v>
      </c>
      <c r="E202" s="1">
        <v>5</v>
      </c>
      <c r="F202" t="str">
        <f>CONCATENATE(Tabla2[[#This Row],[name_club2]],"_",Tabla2[[#This Row],[npartido]])</f>
        <v>MANCHEGO TALENTS_5</v>
      </c>
      <c r="G202" s="5" t="s">
        <v>826</v>
      </c>
      <c r="H202" t="s">
        <v>567</v>
      </c>
      <c r="I202" t="s">
        <v>879</v>
      </c>
      <c r="J202" t="s">
        <v>880</v>
      </c>
      <c r="K202" t="s">
        <v>881</v>
      </c>
      <c r="L202" t="s">
        <v>882</v>
      </c>
      <c r="M202" t="s">
        <v>18</v>
      </c>
      <c r="P202" t="s">
        <v>561</v>
      </c>
      <c r="R202" t="s">
        <v>19</v>
      </c>
      <c r="S202" t="s">
        <v>90</v>
      </c>
    </row>
    <row r="203" spans="1:19" x14ac:dyDescent="0.25">
      <c r="A203" t="str">
        <f>CONCATENATE(Tabla2[[#This Row],[name_club1]]," vs ",Tabla2[[#This Row],[match_filter]])</f>
        <v>ACARSUR vs MANCHEGO TALENTS_5</v>
      </c>
      <c r="B203" t="s">
        <v>825</v>
      </c>
      <c r="C203" t="s">
        <v>92</v>
      </c>
      <c r="D203" t="s">
        <v>560</v>
      </c>
      <c r="E203" s="1">
        <v>5</v>
      </c>
      <c r="F203" t="str">
        <f>CONCATENATE(Tabla2[[#This Row],[name_club2]],"_",Tabla2[[#This Row],[npartido]])</f>
        <v>MANCHEGO TALENTS_5</v>
      </c>
      <c r="G203" s="5" t="s">
        <v>826</v>
      </c>
      <c r="H203" t="s">
        <v>26</v>
      </c>
      <c r="I203" t="s">
        <v>883</v>
      </c>
      <c r="J203" t="s">
        <v>884</v>
      </c>
      <c r="K203" t="s">
        <v>885</v>
      </c>
      <c r="L203" t="s">
        <v>886</v>
      </c>
      <c r="M203" t="s">
        <v>23</v>
      </c>
      <c r="P203" t="s">
        <v>1013</v>
      </c>
      <c r="R203" t="s">
        <v>19</v>
      </c>
      <c r="S203" t="s">
        <v>90</v>
      </c>
    </row>
    <row r="204" spans="1:19" x14ac:dyDescent="0.25">
      <c r="A204" t="str">
        <f>CONCATENATE(Tabla2[[#This Row],[name_club1]]," vs ",Tabla2[[#This Row],[match_filter]])</f>
        <v>ACARSUR vs MANCHEGO TALENTS_5</v>
      </c>
      <c r="B204" t="s">
        <v>825</v>
      </c>
      <c r="C204" t="s">
        <v>92</v>
      </c>
      <c r="D204" t="s">
        <v>560</v>
      </c>
      <c r="E204" s="1">
        <v>5</v>
      </c>
      <c r="F204" t="str">
        <f>CONCATENATE(Tabla2[[#This Row],[name_club2]],"_",Tabla2[[#This Row],[npartido]])</f>
        <v>MANCHEGO TALENTS_5</v>
      </c>
      <c r="G204" s="5" t="s">
        <v>826</v>
      </c>
      <c r="H204" t="s">
        <v>27</v>
      </c>
      <c r="I204" t="s">
        <v>885</v>
      </c>
      <c r="J204" t="s">
        <v>887</v>
      </c>
      <c r="K204" t="s">
        <v>888</v>
      </c>
      <c r="L204" t="s">
        <v>889</v>
      </c>
      <c r="P204" t="s">
        <v>1013</v>
      </c>
      <c r="R204" t="s">
        <v>19</v>
      </c>
      <c r="S204" t="s">
        <v>90</v>
      </c>
    </row>
    <row r="205" spans="1:19" x14ac:dyDescent="0.25">
      <c r="A205" t="str">
        <f>CONCATENATE(Tabla2[[#This Row],[name_club1]]," vs ",Tabla2[[#This Row],[match_filter]])</f>
        <v>ACARSUR vs MANCHEGO TALENTS_5</v>
      </c>
      <c r="B205" t="s">
        <v>825</v>
      </c>
      <c r="C205" t="s">
        <v>92</v>
      </c>
      <c r="D205" t="s">
        <v>560</v>
      </c>
      <c r="E205" s="1">
        <v>5</v>
      </c>
      <c r="F205" t="str">
        <f>CONCATENATE(Tabla2[[#This Row],[name_club2]],"_",Tabla2[[#This Row],[npartido]])</f>
        <v>MANCHEGO TALENTS_5</v>
      </c>
      <c r="G205" s="5" t="s">
        <v>826</v>
      </c>
      <c r="H205" t="s">
        <v>704</v>
      </c>
      <c r="I205" t="s">
        <v>890</v>
      </c>
      <c r="J205" t="s">
        <v>888</v>
      </c>
      <c r="K205" t="s">
        <v>891</v>
      </c>
      <c r="L205" t="s">
        <v>892</v>
      </c>
      <c r="M205" t="s">
        <v>18</v>
      </c>
      <c r="P205" t="s">
        <v>1013</v>
      </c>
      <c r="R205" t="s">
        <v>19</v>
      </c>
      <c r="S205" t="s">
        <v>90</v>
      </c>
    </row>
    <row r="206" spans="1:19" x14ac:dyDescent="0.25">
      <c r="A206" t="str">
        <f>CONCATENATE(Tabla2[[#This Row],[name_club1]]," vs ",Tabla2[[#This Row],[match_filter]])</f>
        <v>ACARSUR vs MANCHEGO TALENTS_5</v>
      </c>
      <c r="B206" t="s">
        <v>825</v>
      </c>
      <c r="C206" t="s">
        <v>92</v>
      </c>
      <c r="D206" t="s">
        <v>560</v>
      </c>
      <c r="E206" s="1">
        <v>5</v>
      </c>
      <c r="F206" t="str">
        <f>CONCATENATE(Tabla2[[#This Row],[name_club2]],"_",Tabla2[[#This Row],[npartido]])</f>
        <v>MANCHEGO TALENTS_5</v>
      </c>
      <c r="G206" s="5" t="s">
        <v>826</v>
      </c>
      <c r="H206" t="s">
        <v>867</v>
      </c>
      <c r="I206" t="s">
        <v>890</v>
      </c>
      <c r="J206" t="s">
        <v>893</v>
      </c>
      <c r="K206" t="s">
        <v>894</v>
      </c>
      <c r="L206" t="s">
        <v>895</v>
      </c>
      <c r="P206" t="s">
        <v>1013</v>
      </c>
      <c r="R206" t="s">
        <v>19</v>
      </c>
      <c r="S206" t="s">
        <v>90</v>
      </c>
    </row>
    <row r="207" spans="1:19" x14ac:dyDescent="0.25">
      <c r="A207" t="str">
        <f>CONCATENATE(Tabla2[[#This Row],[name_club1]]," vs ",Tabla2[[#This Row],[match_filter]])</f>
        <v>ACARSUR vs MANCHEGO TALENTS_5</v>
      </c>
      <c r="B207" t="s">
        <v>825</v>
      </c>
      <c r="C207" t="s">
        <v>92</v>
      </c>
      <c r="D207" t="s">
        <v>560</v>
      </c>
      <c r="E207" s="1">
        <v>5</v>
      </c>
      <c r="F207" t="str">
        <f>CONCATENATE(Tabla2[[#This Row],[name_club2]],"_",Tabla2[[#This Row],[npartido]])</f>
        <v>MANCHEGO TALENTS_5</v>
      </c>
      <c r="G207" s="5" t="s">
        <v>826</v>
      </c>
      <c r="H207" t="s">
        <v>22</v>
      </c>
      <c r="I207" t="s">
        <v>896</v>
      </c>
      <c r="J207" t="s">
        <v>897</v>
      </c>
      <c r="K207" t="s">
        <v>898</v>
      </c>
      <c r="L207" t="s">
        <v>899</v>
      </c>
      <c r="P207" t="s">
        <v>1013</v>
      </c>
      <c r="R207" t="s">
        <v>19</v>
      </c>
      <c r="S207" t="s">
        <v>90</v>
      </c>
    </row>
    <row r="208" spans="1:19" x14ac:dyDescent="0.25">
      <c r="A208" t="str">
        <f>CONCATENATE(Tabla2[[#This Row],[name_club1]]," vs ",Tabla2[[#This Row],[match_filter]])</f>
        <v>ACARSUR vs MANCHEGO TALENTS_5</v>
      </c>
      <c r="B208" t="s">
        <v>825</v>
      </c>
      <c r="C208" t="s">
        <v>92</v>
      </c>
      <c r="D208" t="s">
        <v>560</v>
      </c>
      <c r="E208" s="1">
        <v>5</v>
      </c>
      <c r="F208" t="str">
        <f>CONCATENATE(Tabla2[[#This Row],[name_club2]],"_",Tabla2[[#This Row],[npartido]])</f>
        <v>MANCHEGO TALENTS_5</v>
      </c>
      <c r="G208" s="5" t="s">
        <v>826</v>
      </c>
      <c r="H208" t="s">
        <v>17</v>
      </c>
      <c r="I208" t="s">
        <v>736</v>
      </c>
      <c r="J208" t="s">
        <v>737</v>
      </c>
      <c r="K208" t="s">
        <v>738</v>
      </c>
      <c r="L208" t="s">
        <v>739</v>
      </c>
      <c r="M208" t="s">
        <v>23</v>
      </c>
      <c r="P208" t="s">
        <v>561</v>
      </c>
      <c r="R208" t="s">
        <v>19</v>
      </c>
      <c r="S208" t="s">
        <v>90</v>
      </c>
    </row>
    <row r="209" spans="1:19" x14ac:dyDescent="0.25">
      <c r="A209" t="str">
        <f>CONCATENATE(Tabla2[[#This Row],[name_club1]]," vs ",Tabla2[[#This Row],[match_filter]])</f>
        <v>ACARSUR vs MANCHEGO TALENTS_5</v>
      </c>
      <c r="B209" t="s">
        <v>825</v>
      </c>
      <c r="C209" t="s">
        <v>92</v>
      </c>
      <c r="D209" t="s">
        <v>560</v>
      </c>
      <c r="E209" s="1">
        <v>5</v>
      </c>
      <c r="F209" t="str">
        <f>CONCATENATE(Tabla2[[#This Row],[name_club2]],"_",Tabla2[[#This Row],[npartido]])</f>
        <v>MANCHEGO TALENTS_5</v>
      </c>
      <c r="G209" s="5" t="s">
        <v>826</v>
      </c>
      <c r="H209" t="s">
        <v>17</v>
      </c>
      <c r="I209" t="s">
        <v>740</v>
      </c>
      <c r="J209" t="s">
        <v>741</v>
      </c>
      <c r="K209" t="s">
        <v>742</v>
      </c>
      <c r="L209" t="s">
        <v>743</v>
      </c>
      <c r="M209" t="s">
        <v>18</v>
      </c>
      <c r="P209" t="s">
        <v>561</v>
      </c>
      <c r="R209" t="s">
        <v>19</v>
      </c>
      <c r="S209" t="s">
        <v>90</v>
      </c>
    </row>
    <row r="210" spans="1:19" x14ac:dyDescent="0.25">
      <c r="A210" t="str">
        <f>CONCATENATE(Tabla2[[#This Row],[name_club1]]," vs ",Tabla2[[#This Row],[match_filter]])</f>
        <v>ACARSUR vs MANCHEGO TALENTS_5</v>
      </c>
      <c r="B210" t="s">
        <v>825</v>
      </c>
      <c r="C210" t="s">
        <v>92</v>
      </c>
      <c r="D210" t="s">
        <v>560</v>
      </c>
      <c r="E210" s="1">
        <v>5</v>
      </c>
      <c r="F210" t="str">
        <f>CONCATENATE(Tabla2[[#This Row],[name_club2]],"_",Tabla2[[#This Row],[npartido]])</f>
        <v>MANCHEGO TALENTS_5</v>
      </c>
      <c r="G210" s="5" t="s">
        <v>826</v>
      </c>
      <c r="H210" t="s">
        <v>24</v>
      </c>
      <c r="I210" t="s">
        <v>900</v>
      </c>
      <c r="J210" t="s">
        <v>901</v>
      </c>
      <c r="K210" t="s">
        <v>902</v>
      </c>
      <c r="L210" t="s">
        <v>903</v>
      </c>
      <c r="M210" t="s">
        <v>18</v>
      </c>
      <c r="P210" t="s">
        <v>1013</v>
      </c>
      <c r="R210" t="s">
        <v>19</v>
      </c>
      <c r="S210" t="s">
        <v>90</v>
      </c>
    </row>
    <row r="211" spans="1:19" x14ac:dyDescent="0.25">
      <c r="A211" t="str">
        <f>CONCATENATE(Tabla2[[#This Row],[name_club1]]," vs ",Tabla2[[#This Row],[match_filter]])</f>
        <v>ACARSUR vs MANCHEGO TALENTS_5</v>
      </c>
      <c r="B211" t="s">
        <v>825</v>
      </c>
      <c r="C211" t="s">
        <v>92</v>
      </c>
      <c r="D211" t="s">
        <v>560</v>
      </c>
      <c r="E211" s="1">
        <v>5</v>
      </c>
      <c r="F211" t="str">
        <f>CONCATENATE(Tabla2[[#This Row],[name_club2]],"_",Tabla2[[#This Row],[npartido]])</f>
        <v>MANCHEGO TALENTS_5</v>
      </c>
      <c r="G211" s="5" t="s">
        <v>826</v>
      </c>
      <c r="H211" t="s">
        <v>22</v>
      </c>
      <c r="I211" t="s">
        <v>901</v>
      </c>
      <c r="J211" t="s">
        <v>904</v>
      </c>
      <c r="K211" t="s">
        <v>905</v>
      </c>
      <c r="L211" t="s">
        <v>906</v>
      </c>
      <c r="P211" t="s">
        <v>1013</v>
      </c>
      <c r="R211" t="s">
        <v>19</v>
      </c>
      <c r="S211" t="s">
        <v>90</v>
      </c>
    </row>
    <row r="212" spans="1:19" x14ac:dyDescent="0.25">
      <c r="A212" s="7" t="str">
        <f>CONCATENATE(Tabla2[[#This Row],[name_club1]]," vs ",Tabla2[[#This Row],[match_filter]])</f>
        <v>ACARSUR vs MANCHEGO TALENTS_5</v>
      </c>
      <c r="B212" t="s">
        <v>825</v>
      </c>
      <c r="C212" t="s">
        <v>92</v>
      </c>
      <c r="D212" t="s">
        <v>560</v>
      </c>
      <c r="E212" s="1">
        <v>5</v>
      </c>
      <c r="F212" s="7" t="str">
        <f>CONCATENATE(Tabla2[[#This Row],[name_club2]],"_",Tabla2[[#This Row],[npartido]])</f>
        <v>MANCHEGO TALENTS_5</v>
      </c>
      <c r="G212" s="5" t="s">
        <v>826</v>
      </c>
      <c r="H212" t="s">
        <v>17</v>
      </c>
      <c r="I212" t="s">
        <v>904</v>
      </c>
      <c r="J212" t="s">
        <v>907</v>
      </c>
      <c r="K212" t="s">
        <v>908</v>
      </c>
      <c r="L212" t="s">
        <v>909</v>
      </c>
      <c r="M212" t="s">
        <v>18</v>
      </c>
      <c r="P212" t="s">
        <v>1013</v>
      </c>
      <c r="R212" t="s">
        <v>19</v>
      </c>
      <c r="S212" t="s">
        <v>90</v>
      </c>
    </row>
    <row r="213" spans="1:19" x14ac:dyDescent="0.25">
      <c r="A213" s="7" t="str">
        <f>CONCATENATE(Tabla2[[#This Row],[name_club1]]," vs ",Tabla2[[#This Row],[match_filter]])</f>
        <v>ACARSUR vs MANCHEGO TALENTS_5</v>
      </c>
      <c r="B213" t="s">
        <v>825</v>
      </c>
      <c r="C213" t="s">
        <v>92</v>
      </c>
      <c r="D213" t="s">
        <v>560</v>
      </c>
      <c r="E213" s="1">
        <v>5</v>
      </c>
      <c r="F213" s="7" t="str">
        <f>CONCATENATE(Tabla2[[#This Row],[name_club2]],"_",Tabla2[[#This Row],[npartido]])</f>
        <v>MANCHEGO TALENTS_5</v>
      </c>
      <c r="G213" s="5" t="s">
        <v>826</v>
      </c>
      <c r="H213" t="s">
        <v>22</v>
      </c>
      <c r="I213" t="s">
        <v>744</v>
      </c>
      <c r="J213" t="s">
        <v>745</v>
      </c>
      <c r="K213" t="s">
        <v>746</v>
      </c>
      <c r="L213" t="s">
        <v>747</v>
      </c>
      <c r="P213" t="s">
        <v>561</v>
      </c>
      <c r="R213" t="s">
        <v>19</v>
      </c>
      <c r="S213" t="s">
        <v>90</v>
      </c>
    </row>
    <row r="214" spans="1:19" x14ac:dyDescent="0.25">
      <c r="A214" s="7" t="str">
        <f>CONCATENATE(Tabla2[[#This Row],[name_club1]]," vs ",Tabla2[[#This Row],[match_filter]])</f>
        <v>ACARSUR vs MANCHEGO TALENTS_5</v>
      </c>
      <c r="B214" t="s">
        <v>825</v>
      </c>
      <c r="C214" t="s">
        <v>92</v>
      </c>
      <c r="D214" t="s">
        <v>560</v>
      </c>
      <c r="E214" s="1">
        <v>5</v>
      </c>
      <c r="F214" s="7" t="str">
        <f>CONCATENATE(Tabla2[[#This Row],[name_club2]],"_",Tabla2[[#This Row],[npartido]])</f>
        <v>MANCHEGO TALENTS_5</v>
      </c>
      <c r="G214" s="5" t="s">
        <v>826</v>
      </c>
      <c r="H214" t="s">
        <v>24</v>
      </c>
      <c r="I214" t="s">
        <v>748</v>
      </c>
      <c r="J214" t="s">
        <v>749</v>
      </c>
      <c r="K214" t="s">
        <v>750</v>
      </c>
      <c r="L214" t="s">
        <v>751</v>
      </c>
      <c r="M214" t="s">
        <v>18</v>
      </c>
      <c r="P214" t="s">
        <v>561</v>
      </c>
      <c r="R214" t="s">
        <v>19</v>
      </c>
      <c r="S214" t="s">
        <v>90</v>
      </c>
    </row>
    <row r="215" spans="1:19" x14ac:dyDescent="0.25">
      <c r="A215" s="7" t="str">
        <f>CONCATENATE(Tabla2[[#This Row],[name_club1]]," vs ",Tabla2[[#This Row],[match_filter]])</f>
        <v>ACARSUR vs MANCHEGO TALENTS_5</v>
      </c>
      <c r="B215" t="s">
        <v>825</v>
      </c>
      <c r="C215" t="s">
        <v>92</v>
      </c>
      <c r="D215" t="s">
        <v>560</v>
      </c>
      <c r="E215" s="1">
        <v>5</v>
      </c>
      <c r="F215" s="7" t="str">
        <f>CONCATENATE(Tabla2[[#This Row],[name_club2]],"_",Tabla2[[#This Row],[npartido]])</f>
        <v>MANCHEGO TALENTS_5</v>
      </c>
      <c r="G215" s="5" t="s">
        <v>826</v>
      </c>
      <c r="H215" t="s">
        <v>17</v>
      </c>
      <c r="I215" t="s">
        <v>752</v>
      </c>
      <c r="J215" t="s">
        <v>753</v>
      </c>
      <c r="K215" t="s">
        <v>754</v>
      </c>
      <c r="L215" t="s">
        <v>755</v>
      </c>
      <c r="M215" t="s">
        <v>23</v>
      </c>
      <c r="P215" t="s">
        <v>561</v>
      </c>
      <c r="R215" t="s">
        <v>19</v>
      </c>
      <c r="S215" t="s">
        <v>90</v>
      </c>
    </row>
    <row r="216" spans="1:19" x14ac:dyDescent="0.25">
      <c r="A216" s="7" t="str">
        <f>CONCATENATE(Tabla2[[#This Row],[name_club1]]," vs ",Tabla2[[#This Row],[match_filter]])</f>
        <v>ACARSUR vs MANCHEGO TALENTS_5</v>
      </c>
      <c r="B216" t="s">
        <v>825</v>
      </c>
      <c r="C216" t="s">
        <v>92</v>
      </c>
      <c r="D216" t="s">
        <v>560</v>
      </c>
      <c r="E216" s="1">
        <v>5</v>
      </c>
      <c r="F216" s="7" t="str">
        <f>CONCATENATE(Tabla2[[#This Row],[name_club2]],"_",Tabla2[[#This Row],[npartido]])</f>
        <v>MANCHEGO TALENTS_5</v>
      </c>
      <c r="G216" s="5" t="s">
        <v>826</v>
      </c>
      <c r="H216" t="s">
        <v>29</v>
      </c>
      <c r="I216" t="s">
        <v>756</v>
      </c>
      <c r="J216" t="s">
        <v>263</v>
      </c>
      <c r="K216" t="s">
        <v>757</v>
      </c>
      <c r="L216" t="s">
        <v>758</v>
      </c>
      <c r="M216" t="s">
        <v>18</v>
      </c>
      <c r="P216" t="s">
        <v>561</v>
      </c>
      <c r="R216" t="s">
        <v>19</v>
      </c>
      <c r="S216" t="s">
        <v>90</v>
      </c>
    </row>
    <row r="217" spans="1:19" x14ac:dyDescent="0.25">
      <c r="A217" s="7" t="str">
        <f>CONCATENATE(Tabla2[[#This Row],[name_club1]]," vs ",Tabla2[[#This Row],[match_filter]])</f>
        <v>ACARSUR vs MANCHEGO TALENTS_5</v>
      </c>
      <c r="B217" t="s">
        <v>825</v>
      </c>
      <c r="C217" t="s">
        <v>92</v>
      </c>
      <c r="D217" t="s">
        <v>560</v>
      </c>
      <c r="E217" s="1">
        <v>5</v>
      </c>
      <c r="F217" s="7" t="str">
        <f>CONCATENATE(Tabla2[[#This Row],[name_club2]],"_",Tabla2[[#This Row],[npartido]])</f>
        <v>MANCHEGO TALENTS_5</v>
      </c>
      <c r="G217" s="5" t="s">
        <v>826</v>
      </c>
      <c r="H217" t="s">
        <v>26</v>
      </c>
      <c r="I217" t="s">
        <v>910</v>
      </c>
      <c r="J217" t="s">
        <v>911</v>
      </c>
      <c r="K217" t="s">
        <v>432</v>
      </c>
      <c r="L217" t="s">
        <v>912</v>
      </c>
      <c r="P217" t="s">
        <v>1013</v>
      </c>
      <c r="R217" t="s">
        <v>19</v>
      </c>
      <c r="S217" t="s">
        <v>90</v>
      </c>
    </row>
    <row r="218" spans="1:19" x14ac:dyDescent="0.25">
      <c r="A218" s="7" t="str">
        <f>CONCATENATE(Tabla2[[#This Row],[name_club1]]," vs ",Tabla2[[#This Row],[match_filter]])</f>
        <v>ACARSUR vs MANCHEGO TALENTS_5</v>
      </c>
      <c r="B218" t="s">
        <v>825</v>
      </c>
      <c r="C218" t="s">
        <v>92</v>
      </c>
      <c r="D218" t="s">
        <v>560</v>
      </c>
      <c r="E218" s="1">
        <v>5</v>
      </c>
      <c r="F218" s="7" t="str">
        <f>CONCATENATE(Tabla2[[#This Row],[name_club2]],"_",Tabla2[[#This Row],[npartido]])</f>
        <v>MANCHEGO TALENTS_5</v>
      </c>
      <c r="G218" s="5" t="s">
        <v>826</v>
      </c>
      <c r="H218" t="s">
        <v>24</v>
      </c>
      <c r="I218" t="s">
        <v>913</v>
      </c>
      <c r="J218" t="s">
        <v>914</v>
      </c>
      <c r="K218" t="s">
        <v>915</v>
      </c>
      <c r="L218" t="s">
        <v>916</v>
      </c>
      <c r="M218" t="s">
        <v>23</v>
      </c>
      <c r="P218" t="s">
        <v>1013</v>
      </c>
      <c r="R218" t="s">
        <v>19</v>
      </c>
      <c r="S218" t="s">
        <v>90</v>
      </c>
    </row>
    <row r="219" spans="1:19" x14ac:dyDescent="0.25">
      <c r="A219" s="7" t="str">
        <f>CONCATENATE(Tabla2[[#This Row],[name_club1]]," vs ",Tabla2[[#This Row],[match_filter]])</f>
        <v>ACARSUR vs MANCHEGO TALENTS_5</v>
      </c>
      <c r="B219" t="s">
        <v>825</v>
      </c>
      <c r="C219" t="s">
        <v>92</v>
      </c>
      <c r="D219" t="s">
        <v>560</v>
      </c>
      <c r="E219" s="1">
        <v>5</v>
      </c>
      <c r="F219" s="7" t="str">
        <f>CONCATENATE(Tabla2[[#This Row],[name_club2]],"_",Tabla2[[#This Row],[npartido]])</f>
        <v>MANCHEGO TALENTS_5</v>
      </c>
      <c r="G219" s="5" t="s">
        <v>826</v>
      </c>
      <c r="H219" t="s">
        <v>17</v>
      </c>
      <c r="I219" t="s">
        <v>917</v>
      </c>
      <c r="J219" t="s">
        <v>918</v>
      </c>
      <c r="K219" t="s">
        <v>919</v>
      </c>
      <c r="L219" t="s">
        <v>920</v>
      </c>
      <c r="M219" t="s">
        <v>23</v>
      </c>
      <c r="P219" t="s">
        <v>1013</v>
      </c>
      <c r="R219" t="s">
        <v>19</v>
      </c>
      <c r="S219" t="s">
        <v>90</v>
      </c>
    </row>
    <row r="220" spans="1:19" x14ac:dyDescent="0.25">
      <c r="A220" s="7" t="str">
        <f>CONCATENATE(Tabla2[[#This Row],[name_club1]]," vs ",Tabla2[[#This Row],[match_filter]])</f>
        <v>ACARSUR vs MANCHEGO TALENTS_5</v>
      </c>
      <c r="B220" t="s">
        <v>825</v>
      </c>
      <c r="C220" t="s">
        <v>92</v>
      </c>
      <c r="D220" t="s">
        <v>560</v>
      </c>
      <c r="E220" s="1">
        <v>5</v>
      </c>
      <c r="F220" s="7" t="str">
        <f>CONCATENATE(Tabla2[[#This Row],[name_club2]],"_",Tabla2[[#This Row],[npartido]])</f>
        <v>MANCHEGO TALENTS_5</v>
      </c>
      <c r="G220" s="5" t="s">
        <v>826</v>
      </c>
      <c r="H220" t="s">
        <v>355</v>
      </c>
      <c r="I220" t="s">
        <v>759</v>
      </c>
      <c r="J220" t="s">
        <v>760</v>
      </c>
      <c r="K220" t="s">
        <v>761</v>
      </c>
      <c r="L220" t="s">
        <v>762</v>
      </c>
      <c r="M220" t="s">
        <v>18</v>
      </c>
      <c r="P220" t="s">
        <v>561</v>
      </c>
      <c r="R220" t="s">
        <v>19</v>
      </c>
      <c r="S220" t="s">
        <v>90</v>
      </c>
    </row>
    <row r="221" spans="1:19" x14ac:dyDescent="0.25">
      <c r="A221" s="7" t="str">
        <f>CONCATENATE(Tabla2[[#This Row],[name_club1]]," vs ",Tabla2[[#This Row],[match_filter]])</f>
        <v>ACARSUR vs MANCHEGO TALENTS_5</v>
      </c>
      <c r="B221" t="s">
        <v>825</v>
      </c>
      <c r="C221" t="s">
        <v>92</v>
      </c>
      <c r="D221" t="s">
        <v>560</v>
      </c>
      <c r="E221" s="1">
        <v>5</v>
      </c>
      <c r="F221" s="7" t="str">
        <f>CONCATENATE(Tabla2[[#This Row],[name_club2]],"_",Tabla2[[#This Row],[npartido]])</f>
        <v>MANCHEGO TALENTS_5</v>
      </c>
      <c r="G221" s="5" t="s">
        <v>826</v>
      </c>
      <c r="H221" t="s">
        <v>24</v>
      </c>
      <c r="I221" t="s">
        <v>921</v>
      </c>
      <c r="J221" t="s">
        <v>922</v>
      </c>
      <c r="K221" t="s">
        <v>923</v>
      </c>
      <c r="L221" t="s">
        <v>924</v>
      </c>
      <c r="M221" t="s">
        <v>23</v>
      </c>
      <c r="P221" t="s">
        <v>1013</v>
      </c>
      <c r="R221" t="s">
        <v>89</v>
      </c>
      <c r="S221" t="s">
        <v>20</v>
      </c>
    </row>
    <row r="222" spans="1:19" x14ac:dyDescent="0.25">
      <c r="A222" s="7" t="str">
        <f>CONCATENATE(Tabla2[[#This Row],[name_club1]]," vs ",Tabla2[[#This Row],[match_filter]])</f>
        <v>ACARSUR vs MANCHEGO TALENTS_5</v>
      </c>
      <c r="B222" t="s">
        <v>825</v>
      </c>
      <c r="C222" t="s">
        <v>92</v>
      </c>
      <c r="D222" t="s">
        <v>560</v>
      </c>
      <c r="E222" s="1">
        <v>5</v>
      </c>
      <c r="F222" s="7" t="str">
        <f>CONCATENATE(Tabla2[[#This Row],[name_club2]],"_",Tabla2[[#This Row],[npartido]])</f>
        <v>MANCHEGO TALENTS_5</v>
      </c>
      <c r="G222" s="5" t="s">
        <v>826</v>
      </c>
      <c r="H222" t="s">
        <v>24</v>
      </c>
      <c r="I222" t="s">
        <v>925</v>
      </c>
      <c r="J222" t="s">
        <v>926</v>
      </c>
      <c r="K222" t="s">
        <v>927</v>
      </c>
      <c r="L222" t="s">
        <v>928</v>
      </c>
      <c r="M222" t="s">
        <v>23</v>
      </c>
      <c r="P222" t="s">
        <v>1013</v>
      </c>
      <c r="R222" t="s">
        <v>89</v>
      </c>
      <c r="S222" t="s">
        <v>20</v>
      </c>
    </row>
    <row r="223" spans="1:19" x14ac:dyDescent="0.25">
      <c r="A223" s="7" t="str">
        <f>CONCATENATE(Tabla2[[#This Row],[name_club1]]," vs ",Tabla2[[#This Row],[match_filter]])</f>
        <v>ACARSUR vs MANCHEGO TALENTS_5</v>
      </c>
      <c r="B223" t="s">
        <v>825</v>
      </c>
      <c r="C223" t="s">
        <v>92</v>
      </c>
      <c r="D223" t="s">
        <v>560</v>
      </c>
      <c r="E223" s="1">
        <v>5</v>
      </c>
      <c r="F223" s="7" t="str">
        <f>CONCATENATE(Tabla2[[#This Row],[name_club2]],"_",Tabla2[[#This Row],[npartido]])</f>
        <v>MANCHEGO TALENTS_5</v>
      </c>
      <c r="G223" s="5" t="s">
        <v>826</v>
      </c>
      <c r="H223" t="s">
        <v>17</v>
      </c>
      <c r="I223" t="s">
        <v>929</v>
      </c>
      <c r="J223" t="s">
        <v>930</v>
      </c>
      <c r="K223" t="s">
        <v>931</v>
      </c>
      <c r="L223" t="s">
        <v>932</v>
      </c>
      <c r="M223" t="s">
        <v>18</v>
      </c>
      <c r="P223" t="s">
        <v>1013</v>
      </c>
      <c r="R223" t="s">
        <v>89</v>
      </c>
      <c r="S223" t="s">
        <v>20</v>
      </c>
    </row>
    <row r="224" spans="1:19" x14ac:dyDescent="0.25">
      <c r="A224" s="7" t="str">
        <f>CONCATENATE(Tabla2[[#This Row],[name_club1]]," vs ",Tabla2[[#This Row],[match_filter]])</f>
        <v>ACARSUR vs MANCHEGO TALENTS_5</v>
      </c>
      <c r="B224" t="s">
        <v>825</v>
      </c>
      <c r="C224" t="s">
        <v>92</v>
      </c>
      <c r="D224" t="s">
        <v>560</v>
      </c>
      <c r="E224" s="1">
        <v>5</v>
      </c>
      <c r="F224" s="7" t="str">
        <f>CONCATENATE(Tabla2[[#This Row],[name_club2]],"_",Tabla2[[#This Row],[npartido]])</f>
        <v>MANCHEGO TALENTS_5</v>
      </c>
      <c r="G224" s="5" t="s">
        <v>826</v>
      </c>
      <c r="H224" t="s">
        <v>27</v>
      </c>
      <c r="I224" t="s">
        <v>763</v>
      </c>
      <c r="J224" t="s">
        <v>764</v>
      </c>
      <c r="K224" t="s">
        <v>765</v>
      </c>
      <c r="L224" t="s">
        <v>766</v>
      </c>
      <c r="M224" t="s">
        <v>18</v>
      </c>
      <c r="P224" t="s">
        <v>561</v>
      </c>
      <c r="R224" t="s">
        <v>89</v>
      </c>
      <c r="S224" t="s">
        <v>20</v>
      </c>
    </row>
    <row r="225" spans="1:19" x14ac:dyDescent="0.25">
      <c r="A225" s="7" t="str">
        <f>CONCATENATE(Tabla2[[#This Row],[name_club1]]," vs ",Tabla2[[#This Row],[match_filter]])</f>
        <v>ACARSUR vs MANCHEGO TALENTS_5</v>
      </c>
      <c r="B225" t="s">
        <v>825</v>
      </c>
      <c r="C225" t="s">
        <v>92</v>
      </c>
      <c r="D225" t="s">
        <v>560</v>
      </c>
      <c r="E225" s="1">
        <v>5</v>
      </c>
      <c r="F225" s="7" t="str">
        <f>CONCATENATE(Tabla2[[#This Row],[name_club2]],"_",Tabla2[[#This Row],[npartido]])</f>
        <v>MANCHEGO TALENTS_5</v>
      </c>
      <c r="G225" s="5" t="s">
        <v>826</v>
      </c>
      <c r="H225" t="s">
        <v>17</v>
      </c>
      <c r="I225" t="s">
        <v>767</v>
      </c>
      <c r="J225" t="s">
        <v>768</v>
      </c>
      <c r="K225" t="s">
        <v>769</v>
      </c>
      <c r="L225" t="s">
        <v>770</v>
      </c>
      <c r="M225" t="s">
        <v>18</v>
      </c>
      <c r="P225" t="s">
        <v>561</v>
      </c>
      <c r="R225" t="s">
        <v>89</v>
      </c>
      <c r="S225" t="s">
        <v>20</v>
      </c>
    </row>
    <row r="226" spans="1:19" x14ac:dyDescent="0.25">
      <c r="A226" s="7" t="str">
        <f>CONCATENATE(Tabla2[[#This Row],[name_club1]]," vs ",Tabla2[[#This Row],[match_filter]])</f>
        <v>ACARSUR vs MANCHEGO TALENTS_5</v>
      </c>
      <c r="B226" t="s">
        <v>825</v>
      </c>
      <c r="C226" t="s">
        <v>92</v>
      </c>
      <c r="D226" t="s">
        <v>560</v>
      </c>
      <c r="E226" s="1">
        <v>5</v>
      </c>
      <c r="F226" s="7" t="str">
        <f>CONCATENATE(Tabla2[[#This Row],[name_club2]],"_",Tabla2[[#This Row],[npartido]])</f>
        <v>MANCHEGO TALENTS_5</v>
      </c>
      <c r="G226" s="5" t="s">
        <v>826</v>
      </c>
      <c r="H226" t="s">
        <v>28</v>
      </c>
      <c r="I226" t="s">
        <v>771</v>
      </c>
      <c r="J226" t="s">
        <v>768</v>
      </c>
      <c r="K226" t="s">
        <v>772</v>
      </c>
      <c r="L226" t="s">
        <v>773</v>
      </c>
      <c r="M226" t="s">
        <v>18</v>
      </c>
      <c r="P226" t="s">
        <v>561</v>
      </c>
      <c r="R226" t="s">
        <v>89</v>
      </c>
      <c r="S226" t="s">
        <v>20</v>
      </c>
    </row>
    <row r="227" spans="1:19" x14ac:dyDescent="0.25">
      <c r="A227" s="7" t="str">
        <f>CONCATENATE(Tabla2[[#This Row],[name_club1]]," vs ",Tabla2[[#This Row],[match_filter]])</f>
        <v>ACARSUR vs MANCHEGO TALENTS_5</v>
      </c>
      <c r="B227" t="s">
        <v>825</v>
      </c>
      <c r="C227" t="s">
        <v>92</v>
      </c>
      <c r="D227" t="s">
        <v>560</v>
      </c>
      <c r="E227" s="1">
        <v>5</v>
      </c>
      <c r="F227" s="7" t="str">
        <f>CONCATENATE(Tabla2[[#This Row],[name_club2]],"_",Tabla2[[#This Row],[npartido]])</f>
        <v>MANCHEGO TALENTS_5</v>
      </c>
      <c r="G227" s="5" t="s">
        <v>826</v>
      </c>
      <c r="H227" t="s">
        <v>17</v>
      </c>
      <c r="I227" t="s">
        <v>769</v>
      </c>
      <c r="J227" t="s">
        <v>774</v>
      </c>
      <c r="K227" t="s">
        <v>775</v>
      </c>
      <c r="L227" t="s">
        <v>776</v>
      </c>
      <c r="M227" t="s">
        <v>18</v>
      </c>
      <c r="P227" t="s">
        <v>561</v>
      </c>
      <c r="R227" t="s">
        <v>89</v>
      </c>
      <c r="S227" t="s">
        <v>20</v>
      </c>
    </row>
    <row r="228" spans="1:19" x14ac:dyDescent="0.25">
      <c r="A228" s="7" t="str">
        <f>CONCATENATE(Tabla2[[#This Row],[name_club1]]," vs ",Tabla2[[#This Row],[match_filter]])</f>
        <v>ACARSUR vs MANCHEGO TALENTS_5</v>
      </c>
      <c r="B228" t="s">
        <v>825</v>
      </c>
      <c r="C228" t="s">
        <v>92</v>
      </c>
      <c r="D228" t="s">
        <v>560</v>
      </c>
      <c r="E228" s="1">
        <v>5</v>
      </c>
      <c r="F228" s="7" t="str">
        <f>CONCATENATE(Tabla2[[#This Row],[name_club2]],"_",Tabla2[[#This Row],[npartido]])</f>
        <v>MANCHEGO TALENTS_5</v>
      </c>
      <c r="G228" s="5" t="s">
        <v>826</v>
      </c>
      <c r="H228" t="s">
        <v>28</v>
      </c>
      <c r="I228" t="s">
        <v>465</v>
      </c>
      <c r="J228" t="s">
        <v>777</v>
      </c>
      <c r="K228" t="s">
        <v>778</v>
      </c>
      <c r="L228" t="s">
        <v>779</v>
      </c>
      <c r="M228" t="s">
        <v>18</v>
      </c>
      <c r="P228" t="s">
        <v>561</v>
      </c>
      <c r="R228" t="s">
        <v>89</v>
      </c>
      <c r="S228" t="s">
        <v>20</v>
      </c>
    </row>
    <row r="229" spans="1:19" x14ac:dyDescent="0.25">
      <c r="A229" s="7" t="str">
        <f>CONCATENATE(Tabla2[[#This Row],[name_club1]]," vs ",Tabla2[[#This Row],[match_filter]])</f>
        <v>ACARSUR vs MANCHEGO TALENTS_5</v>
      </c>
      <c r="B229" t="s">
        <v>825</v>
      </c>
      <c r="C229" t="s">
        <v>92</v>
      </c>
      <c r="D229" t="s">
        <v>560</v>
      </c>
      <c r="E229" s="1">
        <v>5</v>
      </c>
      <c r="F229" s="7" t="str">
        <f>CONCATENATE(Tabla2[[#This Row],[name_club2]],"_",Tabla2[[#This Row],[npartido]])</f>
        <v>MANCHEGO TALENTS_5</v>
      </c>
      <c r="G229" s="5" t="s">
        <v>826</v>
      </c>
      <c r="H229" t="s">
        <v>17</v>
      </c>
      <c r="I229" t="s">
        <v>780</v>
      </c>
      <c r="J229" t="s">
        <v>781</v>
      </c>
      <c r="K229" t="s">
        <v>778</v>
      </c>
      <c r="L229" t="s">
        <v>782</v>
      </c>
      <c r="M229" t="s">
        <v>18</v>
      </c>
      <c r="P229" t="s">
        <v>561</v>
      </c>
      <c r="R229" t="s">
        <v>89</v>
      </c>
      <c r="S229" t="s">
        <v>20</v>
      </c>
    </row>
    <row r="230" spans="1:19" x14ac:dyDescent="0.25">
      <c r="A230" s="7" t="str">
        <f>CONCATENATE(Tabla2[[#This Row],[name_club1]]," vs ",Tabla2[[#This Row],[match_filter]])</f>
        <v>ACARSUR vs MANCHEGO TALENTS_5</v>
      </c>
      <c r="B230" t="s">
        <v>825</v>
      </c>
      <c r="C230" t="s">
        <v>92</v>
      </c>
      <c r="D230" t="s">
        <v>560</v>
      </c>
      <c r="E230" s="1">
        <v>5</v>
      </c>
      <c r="F230" s="7" t="str">
        <f>CONCATENATE(Tabla2[[#This Row],[name_club2]],"_",Tabla2[[#This Row],[npartido]])</f>
        <v>MANCHEGO TALENTS_5</v>
      </c>
      <c r="G230" s="5" t="s">
        <v>826</v>
      </c>
      <c r="H230" t="s">
        <v>29</v>
      </c>
      <c r="I230" t="s">
        <v>933</v>
      </c>
      <c r="J230" t="s">
        <v>934</v>
      </c>
      <c r="K230" t="s">
        <v>935</v>
      </c>
      <c r="L230" t="s">
        <v>936</v>
      </c>
      <c r="M230" t="s">
        <v>18</v>
      </c>
      <c r="P230" t="s">
        <v>1013</v>
      </c>
      <c r="R230" t="s">
        <v>89</v>
      </c>
      <c r="S230" t="s">
        <v>20</v>
      </c>
    </row>
    <row r="231" spans="1:19" x14ac:dyDescent="0.25">
      <c r="A231" s="7" t="str">
        <f>CONCATENATE(Tabla2[[#This Row],[name_club1]]," vs ",Tabla2[[#This Row],[match_filter]])</f>
        <v>ACARSUR vs MANCHEGO TALENTS_5</v>
      </c>
      <c r="B231" t="s">
        <v>825</v>
      </c>
      <c r="C231" t="s">
        <v>92</v>
      </c>
      <c r="D231" t="s">
        <v>560</v>
      </c>
      <c r="E231" s="1">
        <v>5</v>
      </c>
      <c r="F231" s="7" t="str">
        <f>CONCATENATE(Tabla2[[#This Row],[name_club2]],"_",Tabla2[[#This Row],[npartido]])</f>
        <v>MANCHEGO TALENTS_5</v>
      </c>
      <c r="G231" s="5" t="s">
        <v>826</v>
      </c>
      <c r="H231" t="s">
        <v>26</v>
      </c>
      <c r="I231" t="s">
        <v>783</v>
      </c>
      <c r="J231" t="s">
        <v>784</v>
      </c>
      <c r="K231" t="s">
        <v>785</v>
      </c>
      <c r="L231" t="s">
        <v>786</v>
      </c>
      <c r="M231" t="s">
        <v>18</v>
      </c>
      <c r="P231" t="s">
        <v>561</v>
      </c>
      <c r="R231" t="s">
        <v>89</v>
      </c>
      <c r="S231" t="s">
        <v>20</v>
      </c>
    </row>
    <row r="232" spans="1:19" x14ac:dyDescent="0.25">
      <c r="A232" s="7" t="str">
        <f>CONCATENATE(Tabla2[[#This Row],[name_club1]]," vs ",Tabla2[[#This Row],[match_filter]])</f>
        <v>ACARSUR vs MANCHEGO TALENTS_5</v>
      </c>
      <c r="B232" t="s">
        <v>825</v>
      </c>
      <c r="C232" t="s">
        <v>92</v>
      </c>
      <c r="D232" t="s">
        <v>560</v>
      </c>
      <c r="E232" s="1">
        <v>5</v>
      </c>
      <c r="F232" s="7" t="str">
        <f>CONCATENATE(Tabla2[[#This Row],[name_club2]],"_",Tabla2[[#This Row],[npartido]])</f>
        <v>MANCHEGO TALENTS_5</v>
      </c>
      <c r="G232" s="5" t="s">
        <v>826</v>
      </c>
      <c r="H232" t="s">
        <v>26</v>
      </c>
      <c r="I232" t="s">
        <v>785</v>
      </c>
      <c r="J232" t="s">
        <v>937</v>
      </c>
      <c r="K232" t="s">
        <v>938</v>
      </c>
      <c r="L232" t="s">
        <v>939</v>
      </c>
      <c r="M232" t="s">
        <v>23</v>
      </c>
      <c r="P232" t="s">
        <v>1013</v>
      </c>
      <c r="R232" t="s">
        <v>89</v>
      </c>
      <c r="S232" t="s">
        <v>20</v>
      </c>
    </row>
    <row r="233" spans="1:19" x14ac:dyDescent="0.25">
      <c r="A233" s="7" t="str">
        <f>CONCATENATE(Tabla2[[#This Row],[name_club1]]," vs ",Tabla2[[#This Row],[match_filter]])</f>
        <v>ACARSUR vs MANCHEGO TALENTS_5</v>
      </c>
      <c r="B233" t="s">
        <v>825</v>
      </c>
      <c r="C233" t="s">
        <v>92</v>
      </c>
      <c r="D233" t="s">
        <v>560</v>
      </c>
      <c r="E233" s="1">
        <v>5</v>
      </c>
      <c r="F233" s="7" t="str">
        <f>CONCATENATE(Tabla2[[#This Row],[name_club2]],"_",Tabla2[[#This Row],[npartido]])</f>
        <v>MANCHEGO TALENTS_5</v>
      </c>
      <c r="G233" s="5" t="s">
        <v>826</v>
      </c>
      <c r="H233" t="s">
        <v>29</v>
      </c>
      <c r="I233" t="s">
        <v>787</v>
      </c>
      <c r="J233" t="s">
        <v>788</v>
      </c>
      <c r="K233" t="s">
        <v>789</v>
      </c>
      <c r="L233" t="s">
        <v>790</v>
      </c>
      <c r="M233" t="s">
        <v>23</v>
      </c>
      <c r="P233" t="s">
        <v>561</v>
      </c>
      <c r="R233" t="s">
        <v>89</v>
      </c>
      <c r="S233" t="s">
        <v>20</v>
      </c>
    </row>
    <row r="234" spans="1:19" x14ac:dyDescent="0.25">
      <c r="A234" s="7" t="str">
        <f>CONCATENATE(Tabla2[[#This Row],[name_club1]]," vs ",Tabla2[[#This Row],[match_filter]])</f>
        <v>ACARSUR vs MANCHEGO TALENTS_5</v>
      </c>
      <c r="B234" t="s">
        <v>825</v>
      </c>
      <c r="C234" t="s">
        <v>92</v>
      </c>
      <c r="D234" t="s">
        <v>560</v>
      </c>
      <c r="E234" s="1">
        <v>5</v>
      </c>
      <c r="F234" s="7" t="str">
        <f>CONCATENATE(Tabla2[[#This Row],[name_club2]],"_",Tabla2[[#This Row],[npartido]])</f>
        <v>MANCHEGO TALENTS_5</v>
      </c>
      <c r="G234" s="5" t="s">
        <v>826</v>
      </c>
      <c r="H234" t="s">
        <v>22</v>
      </c>
      <c r="I234" t="s">
        <v>940</v>
      </c>
      <c r="J234" t="s">
        <v>941</v>
      </c>
      <c r="K234" t="s">
        <v>942</v>
      </c>
      <c r="L234" t="s">
        <v>943</v>
      </c>
      <c r="M234" t="s">
        <v>18</v>
      </c>
      <c r="P234" t="s">
        <v>1013</v>
      </c>
      <c r="R234" t="s">
        <v>89</v>
      </c>
      <c r="S234" t="s">
        <v>20</v>
      </c>
    </row>
    <row r="235" spans="1:19" x14ac:dyDescent="0.25">
      <c r="A235" s="7" t="str">
        <f>CONCATENATE(Tabla2[[#This Row],[name_club1]]," vs ",Tabla2[[#This Row],[match_filter]])</f>
        <v>ACARSUR vs MANCHEGO TALENTS_5</v>
      </c>
      <c r="B235" t="s">
        <v>825</v>
      </c>
      <c r="C235" t="s">
        <v>92</v>
      </c>
      <c r="D235" t="s">
        <v>560</v>
      </c>
      <c r="E235" s="1">
        <v>5</v>
      </c>
      <c r="F235" s="7" t="str">
        <f>CONCATENATE(Tabla2[[#This Row],[name_club2]],"_",Tabla2[[#This Row],[npartido]])</f>
        <v>MANCHEGO TALENTS_5</v>
      </c>
      <c r="G235" s="5" t="s">
        <v>826</v>
      </c>
      <c r="H235" t="s">
        <v>24</v>
      </c>
      <c r="I235" t="s">
        <v>944</v>
      </c>
      <c r="J235" t="s">
        <v>629</v>
      </c>
      <c r="K235" t="s">
        <v>945</v>
      </c>
      <c r="L235" t="s">
        <v>946</v>
      </c>
      <c r="M235" t="s">
        <v>18</v>
      </c>
      <c r="N235" t="s">
        <v>45</v>
      </c>
      <c r="P235" t="s">
        <v>1013</v>
      </c>
      <c r="R235" t="s">
        <v>89</v>
      </c>
      <c r="S235" t="s">
        <v>20</v>
      </c>
    </row>
    <row r="236" spans="1:19" x14ac:dyDescent="0.25">
      <c r="A236" s="7" t="str">
        <f>CONCATENATE(Tabla2[[#This Row],[name_club1]]," vs ",Tabla2[[#This Row],[match_filter]])</f>
        <v>ACARSUR vs MANCHEGO TALENTS_5</v>
      </c>
      <c r="B236" t="s">
        <v>825</v>
      </c>
      <c r="C236" t="s">
        <v>92</v>
      </c>
      <c r="D236" t="s">
        <v>560</v>
      </c>
      <c r="E236" s="1">
        <v>5</v>
      </c>
      <c r="F236" s="7" t="str">
        <f>CONCATENATE(Tabla2[[#This Row],[name_club2]],"_",Tabla2[[#This Row],[npartido]])</f>
        <v>MANCHEGO TALENTS_5</v>
      </c>
      <c r="G236" s="5" t="s">
        <v>826</v>
      </c>
      <c r="H236" t="s">
        <v>17</v>
      </c>
      <c r="I236" t="s">
        <v>945</v>
      </c>
      <c r="J236" t="s">
        <v>947</v>
      </c>
      <c r="K236" t="s">
        <v>948</v>
      </c>
      <c r="L236" t="s">
        <v>949</v>
      </c>
      <c r="M236" t="s">
        <v>23</v>
      </c>
      <c r="P236" t="s">
        <v>1013</v>
      </c>
      <c r="R236" t="s">
        <v>89</v>
      </c>
      <c r="S236" t="s">
        <v>20</v>
      </c>
    </row>
    <row r="237" spans="1:19" x14ac:dyDescent="0.25">
      <c r="A237" s="7" t="str">
        <f>CONCATENATE(Tabla2[[#This Row],[name_club1]]," vs ",Tabla2[[#This Row],[match_filter]])</f>
        <v>ACARSUR vs MANCHEGO TALENTS_5</v>
      </c>
      <c r="B237" t="s">
        <v>825</v>
      </c>
      <c r="C237" t="s">
        <v>92</v>
      </c>
      <c r="D237" t="s">
        <v>560</v>
      </c>
      <c r="E237" s="1">
        <v>5</v>
      </c>
      <c r="F237" s="7" t="str">
        <f>CONCATENATE(Tabla2[[#This Row],[name_club2]],"_",Tabla2[[#This Row],[npartido]])</f>
        <v>MANCHEGO TALENTS_5</v>
      </c>
      <c r="G237" s="5" t="s">
        <v>826</v>
      </c>
      <c r="H237" t="s">
        <v>704</v>
      </c>
      <c r="I237" t="s">
        <v>950</v>
      </c>
      <c r="J237" t="s">
        <v>951</v>
      </c>
      <c r="K237" t="s">
        <v>952</v>
      </c>
      <c r="L237" t="s">
        <v>953</v>
      </c>
      <c r="M237" t="s">
        <v>18</v>
      </c>
      <c r="P237" t="s">
        <v>1013</v>
      </c>
      <c r="R237" t="s">
        <v>89</v>
      </c>
      <c r="S237" t="s">
        <v>20</v>
      </c>
    </row>
    <row r="238" spans="1:19" x14ac:dyDescent="0.25">
      <c r="A238" s="7" t="str">
        <f>CONCATENATE(Tabla2[[#This Row],[name_club1]]," vs ",Tabla2[[#This Row],[match_filter]])</f>
        <v>ACARSUR vs MANCHEGO TALENTS_5</v>
      </c>
      <c r="B238" t="s">
        <v>825</v>
      </c>
      <c r="C238" t="s">
        <v>92</v>
      </c>
      <c r="D238" t="s">
        <v>560</v>
      </c>
      <c r="E238" s="1">
        <v>5</v>
      </c>
      <c r="F238" s="7" t="str">
        <f>CONCATENATE(Tabla2[[#This Row],[name_club2]],"_",Tabla2[[#This Row],[npartido]])</f>
        <v>MANCHEGO TALENTS_5</v>
      </c>
      <c r="G238" s="5" t="s">
        <v>826</v>
      </c>
      <c r="H238" t="s">
        <v>26</v>
      </c>
      <c r="I238" t="s">
        <v>954</v>
      </c>
      <c r="J238" t="s">
        <v>952</v>
      </c>
      <c r="K238" t="s">
        <v>955</v>
      </c>
      <c r="L238" t="s">
        <v>956</v>
      </c>
      <c r="M238" t="s">
        <v>18</v>
      </c>
      <c r="P238" t="s">
        <v>1013</v>
      </c>
      <c r="R238" t="s">
        <v>89</v>
      </c>
      <c r="S238" t="s">
        <v>20</v>
      </c>
    </row>
    <row r="239" spans="1:19" x14ac:dyDescent="0.25">
      <c r="A239" s="7" t="str">
        <f>CONCATENATE(Tabla2[[#This Row],[name_club1]]," vs ",Tabla2[[#This Row],[match_filter]])</f>
        <v>ACARSUR vs MANCHEGO TALENTS_5</v>
      </c>
      <c r="B239" t="s">
        <v>825</v>
      </c>
      <c r="C239" t="s">
        <v>92</v>
      </c>
      <c r="D239" t="s">
        <v>560</v>
      </c>
      <c r="E239" s="1">
        <v>5</v>
      </c>
      <c r="F239" s="7" t="str">
        <f>CONCATENATE(Tabla2[[#This Row],[name_club2]],"_",Tabla2[[#This Row],[npartido]])</f>
        <v>MANCHEGO TALENTS_5</v>
      </c>
      <c r="G239" s="5" t="s">
        <v>826</v>
      </c>
      <c r="H239" t="s">
        <v>24</v>
      </c>
      <c r="I239" t="s">
        <v>957</v>
      </c>
      <c r="J239" t="s">
        <v>958</v>
      </c>
      <c r="K239" t="s">
        <v>959</v>
      </c>
      <c r="L239" t="s">
        <v>960</v>
      </c>
      <c r="M239" t="s">
        <v>18</v>
      </c>
      <c r="P239" t="s">
        <v>1013</v>
      </c>
      <c r="R239" t="s">
        <v>89</v>
      </c>
      <c r="S239" t="s">
        <v>20</v>
      </c>
    </row>
    <row r="240" spans="1:19" x14ac:dyDescent="0.25">
      <c r="A240" s="7" t="str">
        <f>CONCATENATE(Tabla2[[#This Row],[name_club1]]," vs ",Tabla2[[#This Row],[match_filter]])</f>
        <v>ACARSUR vs MANCHEGO TALENTS_5</v>
      </c>
      <c r="B240" t="s">
        <v>825</v>
      </c>
      <c r="C240" t="s">
        <v>92</v>
      </c>
      <c r="D240" t="s">
        <v>560</v>
      </c>
      <c r="E240" s="1">
        <v>5</v>
      </c>
      <c r="F240" s="7" t="str">
        <f>CONCATENATE(Tabla2[[#This Row],[name_club2]],"_",Tabla2[[#This Row],[npartido]])</f>
        <v>MANCHEGO TALENTS_5</v>
      </c>
      <c r="G240" s="5" t="s">
        <v>826</v>
      </c>
      <c r="H240" t="s">
        <v>17</v>
      </c>
      <c r="I240" t="s">
        <v>791</v>
      </c>
      <c r="J240" t="s">
        <v>792</v>
      </c>
      <c r="K240" t="s">
        <v>793</v>
      </c>
      <c r="L240" t="s">
        <v>794</v>
      </c>
      <c r="M240" t="s">
        <v>18</v>
      </c>
      <c r="P240" t="s">
        <v>561</v>
      </c>
      <c r="R240" t="s">
        <v>89</v>
      </c>
      <c r="S240" t="s">
        <v>20</v>
      </c>
    </row>
    <row r="241" spans="1:19" x14ac:dyDescent="0.25">
      <c r="A241" s="7" t="str">
        <f>CONCATENATE(Tabla2[[#This Row],[name_club1]]," vs ",Tabla2[[#This Row],[match_filter]])</f>
        <v>ACARSUR vs MANCHEGO TALENTS_5</v>
      </c>
      <c r="B241" t="s">
        <v>825</v>
      </c>
      <c r="C241" t="s">
        <v>92</v>
      </c>
      <c r="D241" t="s">
        <v>560</v>
      </c>
      <c r="E241" s="1">
        <v>5</v>
      </c>
      <c r="F241" s="7" t="str">
        <f>CONCATENATE(Tabla2[[#This Row],[name_club2]],"_",Tabla2[[#This Row],[npartido]])</f>
        <v>MANCHEGO TALENTS_5</v>
      </c>
      <c r="G241" s="5" t="s">
        <v>826</v>
      </c>
      <c r="H241" t="s">
        <v>22</v>
      </c>
      <c r="I241" t="s">
        <v>961</v>
      </c>
      <c r="J241" t="s">
        <v>962</v>
      </c>
      <c r="K241" t="s">
        <v>963</v>
      </c>
      <c r="L241" t="s">
        <v>964</v>
      </c>
      <c r="P241" t="s">
        <v>1013</v>
      </c>
      <c r="R241" t="s">
        <v>89</v>
      </c>
      <c r="S241" t="s">
        <v>20</v>
      </c>
    </row>
    <row r="242" spans="1:19" x14ac:dyDescent="0.25">
      <c r="A242" s="7" t="str">
        <f>CONCATENATE(Tabla2[[#This Row],[name_club1]]," vs ",Tabla2[[#This Row],[match_filter]])</f>
        <v>ACARSUR vs MANCHEGO TALENTS_5</v>
      </c>
      <c r="B242" t="s">
        <v>825</v>
      </c>
      <c r="C242" t="s">
        <v>92</v>
      </c>
      <c r="D242" t="s">
        <v>560</v>
      </c>
      <c r="E242" s="1">
        <v>5</v>
      </c>
      <c r="F242" s="7" t="str">
        <f>CONCATENATE(Tabla2[[#This Row],[name_club2]],"_",Tabla2[[#This Row],[npartido]])</f>
        <v>MANCHEGO TALENTS_5</v>
      </c>
      <c r="G242" s="5" t="s">
        <v>826</v>
      </c>
      <c r="H242" t="s">
        <v>24</v>
      </c>
      <c r="I242" t="s">
        <v>965</v>
      </c>
      <c r="J242" t="s">
        <v>966</v>
      </c>
      <c r="K242" t="s">
        <v>967</v>
      </c>
      <c r="L242" t="s">
        <v>968</v>
      </c>
      <c r="M242" t="s">
        <v>18</v>
      </c>
      <c r="P242" t="s">
        <v>1013</v>
      </c>
      <c r="R242" t="s">
        <v>89</v>
      </c>
      <c r="S242" t="s">
        <v>20</v>
      </c>
    </row>
    <row r="243" spans="1:19" x14ac:dyDescent="0.25">
      <c r="A243" s="7" t="str">
        <f>CONCATENATE(Tabla2[[#This Row],[name_club1]]," vs ",Tabla2[[#This Row],[match_filter]])</f>
        <v>ACARSUR vs MANCHEGO TALENTS_5</v>
      </c>
      <c r="B243" t="s">
        <v>825</v>
      </c>
      <c r="C243" t="s">
        <v>92</v>
      </c>
      <c r="D243" t="s">
        <v>560</v>
      </c>
      <c r="E243" s="1">
        <v>5</v>
      </c>
      <c r="F243" s="7" t="str">
        <f>CONCATENATE(Tabla2[[#This Row],[name_club2]],"_",Tabla2[[#This Row],[npartido]])</f>
        <v>MANCHEGO TALENTS_5</v>
      </c>
      <c r="G243" s="5" t="s">
        <v>826</v>
      </c>
      <c r="H243" t="s">
        <v>429</v>
      </c>
      <c r="I243" t="s">
        <v>969</v>
      </c>
      <c r="J243" t="s">
        <v>970</v>
      </c>
      <c r="K243" t="s">
        <v>971</v>
      </c>
      <c r="L243" t="s">
        <v>972</v>
      </c>
      <c r="M243" t="s">
        <v>23</v>
      </c>
      <c r="P243" t="s">
        <v>1013</v>
      </c>
      <c r="R243" t="s">
        <v>89</v>
      </c>
      <c r="S243" t="s">
        <v>20</v>
      </c>
    </row>
    <row r="244" spans="1:19" x14ac:dyDescent="0.25">
      <c r="A244" s="7" t="str">
        <f>CONCATENATE(Tabla2[[#This Row],[name_club1]]," vs ",Tabla2[[#This Row],[match_filter]])</f>
        <v>ACARSUR vs MANCHEGO TALENTS_5</v>
      </c>
      <c r="B244" t="s">
        <v>825</v>
      </c>
      <c r="C244" t="s">
        <v>92</v>
      </c>
      <c r="D244" t="s">
        <v>560</v>
      </c>
      <c r="E244" s="1">
        <v>5</v>
      </c>
      <c r="F244" s="7" t="str">
        <f>CONCATENATE(Tabla2[[#This Row],[name_club2]],"_",Tabla2[[#This Row],[npartido]])</f>
        <v>MANCHEGO TALENTS_5</v>
      </c>
      <c r="G244" s="5" t="s">
        <v>826</v>
      </c>
      <c r="H244" t="s">
        <v>17</v>
      </c>
      <c r="I244" t="s">
        <v>973</v>
      </c>
      <c r="J244" t="s">
        <v>974</v>
      </c>
      <c r="K244" t="s">
        <v>975</v>
      </c>
      <c r="L244" t="s">
        <v>976</v>
      </c>
      <c r="M244" t="s">
        <v>23</v>
      </c>
      <c r="P244" t="s">
        <v>1013</v>
      </c>
      <c r="R244" t="s">
        <v>89</v>
      </c>
      <c r="S244" t="s">
        <v>20</v>
      </c>
    </row>
    <row r="245" spans="1:19" x14ac:dyDescent="0.25">
      <c r="A245" s="7" t="str">
        <f>CONCATENATE(Tabla2[[#This Row],[name_club1]]," vs ",Tabla2[[#This Row],[match_filter]])</f>
        <v>ACARSUR vs MANCHEGO TALENTS_5</v>
      </c>
      <c r="B245" t="s">
        <v>825</v>
      </c>
      <c r="C245" t="s">
        <v>92</v>
      </c>
      <c r="D245" t="s">
        <v>560</v>
      </c>
      <c r="E245" s="1">
        <v>5</v>
      </c>
      <c r="F245" s="7" t="str">
        <f>CONCATENATE(Tabla2[[#This Row],[name_club2]],"_",Tabla2[[#This Row],[npartido]])</f>
        <v>MANCHEGO TALENTS_5</v>
      </c>
      <c r="G245" s="5" t="s">
        <v>826</v>
      </c>
      <c r="H245" t="s">
        <v>22</v>
      </c>
      <c r="I245" t="s">
        <v>977</v>
      </c>
      <c r="J245" t="s">
        <v>978</v>
      </c>
      <c r="K245" t="s">
        <v>979</v>
      </c>
      <c r="L245" t="s">
        <v>980</v>
      </c>
      <c r="P245" t="s">
        <v>1013</v>
      </c>
      <c r="R245" t="s">
        <v>89</v>
      </c>
      <c r="S245" t="s">
        <v>20</v>
      </c>
    </row>
    <row r="246" spans="1:19" x14ac:dyDescent="0.25">
      <c r="A246" s="7" t="str">
        <f>CONCATENATE(Tabla2[[#This Row],[name_club1]]," vs ",Tabla2[[#This Row],[match_filter]])</f>
        <v>ACARSUR vs MANCHEGO TALENTS_5</v>
      </c>
      <c r="B246" t="s">
        <v>825</v>
      </c>
      <c r="C246" t="s">
        <v>92</v>
      </c>
      <c r="D246" t="s">
        <v>560</v>
      </c>
      <c r="E246" s="1">
        <v>5</v>
      </c>
      <c r="F246" s="7" t="str">
        <f>CONCATENATE(Tabla2[[#This Row],[name_club2]],"_",Tabla2[[#This Row],[npartido]])</f>
        <v>MANCHEGO TALENTS_5</v>
      </c>
      <c r="G246" s="5" t="s">
        <v>826</v>
      </c>
      <c r="H246" t="s">
        <v>22</v>
      </c>
      <c r="I246" t="s">
        <v>795</v>
      </c>
      <c r="J246" t="s">
        <v>796</v>
      </c>
      <c r="K246" t="s">
        <v>797</v>
      </c>
      <c r="L246" t="s">
        <v>228</v>
      </c>
      <c r="P246" t="s">
        <v>561</v>
      </c>
      <c r="R246" t="s">
        <v>89</v>
      </c>
      <c r="S246" t="s">
        <v>20</v>
      </c>
    </row>
    <row r="247" spans="1:19" x14ac:dyDescent="0.25">
      <c r="A247" s="7" t="str">
        <f>CONCATENATE(Tabla2[[#This Row],[name_club1]]," vs ",Tabla2[[#This Row],[match_filter]])</f>
        <v>ACARSUR vs MANCHEGO TALENTS_5</v>
      </c>
      <c r="B247" t="s">
        <v>825</v>
      </c>
      <c r="C247" t="s">
        <v>92</v>
      </c>
      <c r="D247" t="s">
        <v>560</v>
      </c>
      <c r="E247" s="1">
        <v>5</v>
      </c>
      <c r="F247" s="7" t="str">
        <f>CONCATENATE(Tabla2[[#This Row],[name_club2]],"_",Tabla2[[#This Row],[npartido]])</f>
        <v>MANCHEGO TALENTS_5</v>
      </c>
      <c r="G247" s="5" t="s">
        <v>826</v>
      </c>
      <c r="H247" t="s">
        <v>567</v>
      </c>
      <c r="I247" t="s">
        <v>981</v>
      </c>
      <c r="J247" t="s">
        <v>982</v>
      </c>
      <c r="K247" t="s">
        <v>983</v>
      </c>
      <c r="L247" t="s">
        <v>984</v>
      </c>
      <c r="M247" t="s">
        <v>18</v>
      </c>
      <c r="P247" t="s">
        <v>561</v>
      </c>
      <c r="R247" t="s">
        <v>89</v>
      </c>
      <c r="S247" t="s">
        <v>20</v>
      </c>
    </row>
    <row r="248" spans="1:19" x14ac:dyDescent="0.25">
      <c r="A248" s="7" t="str">
        <f>CONCATENATE(Tabla2[[#This Row],[name_club1]]," vs ",Tabla2[[#This Row],[match_filter]])</f>
        <v>ACARSUR vs MANCHEGO TALENTS_5</v>
      </c>
      <c r="B248" t="s">
        <v>825</v>
      </c>
      <c r="C248" t="s">
        <v>92</v>
      </c>
      <c r="D248" t="s">
        <v>560</v>
      </c>
      <c r="E248" s="1">
        <v>5</v>
      </c>
      <c r="F248" s="7" t="str">
        <f>CONCATENATE(Tabla2[[#This Row],[name_club2]],"_",Tabla2[[#This Row],[npartido]])</f>
        <v>MANCHEGO TALENTS_5</v>
      </c>
      <c r="G248" s="5" t="s">
        <v>826</v>
      </c>
      <c r="H248" t="s">
        <v>43</v>
      </c>
      <c r="I248" t="s">
        <v>798</v>
      </c>
      <c r="J248" t="s">
        <v>153</v>
      </c>
      <c r="K248" t="s">
        <v>154</v>
      </c>
      <c r="L248" t="s">
        <v>799</v>
      </c>
      <c r="M248" t="s">
        <v>18</v>
      </c>
      <c r="P248" t="s">
        <v>561</v>
      </c>
      <c r="R248" t="s">
        <v>89</v>
      </c>
      <c r="S248" t="s">
        <v>20</v>
      </c>
    </row>
    <row r="249" spans="1:19" x14ac:dyDescent="0.25">
      <c r="A249" s="7" t="str">
        <f>CONCATENATE(Tabla2[[#This Row],[name_club1]]," vs ",Tabla2[[#This Row],[match_filter]])</f>
        <v>ACARSUR vs MANCHEGO TALENTS_5</v>
      </c>
      <c r="B249" t="s">
        <v>825</v>
      </c>
      <c r="C249" t="s">
        <v>92</v>
      </c>
      <c r="D249" t="s">
        <v>560</v>
      </c>
      <c r="E249" s="1">
        <v>5</v>
      </c>
      <c r="F249" s="7" t="str">
        <f>CONCATENATE(Tabla2[[#This Row],[name_club2]],"_",Tabla2[[#This Row],[npartido]])</f>
        <v>MANCHEGO TALENTS_5</v>
      </c>
      <c r="G249" s="5" t="s">
        <v>826</v>
      </c>
      <c r="H249" t="s">
        <v>17</v>
      </c>
      <c r="I249" t="s">
        <v>153</v>
      </c>
      <c r="J249" t="s">
        <v>800</v>
      </c>
      <c r="K249" t="s">
        <v>154</v>
      </c>
      <c r="L249" t="s">
        <v>801</v>
      </c>
      <c r="M249" t="s">
        <v>18</v>
      </c>
      <c r="P249" t="s">
        <v>561</v>
      </c>
      <c r="R249" t="s">
        <v>89</v>
      </c>
      <c r="S249" t="s">
        <v>20</v>
      </c>
    </row>
    <row r="250" spans="1:19" x14ac:dyDescent="0.25">
      <c r="A250" s="7" t="str">
        <f>CONCATENATE(Tabla2[[#This Row],[name_club1]]," vs ",Tabla2[[#This Row],[match_filter]])</f>
        <v>ACARSUR vs MANCHEGO TALENTS_5</v>
      </c>
      <c r="B250" t="s">
        <v>825</v>
      </c>
      <c r="C250" t="s">
        <v>92</v>
      </c>
      <c r="D250" t="s">
        <v>560</v>
      </c>
      <c r="E250" s="1">
        <v>5</v>
      </c>
      <c r="F250" s="7" t="str">
        <f>CONCATENATE(Tabla2[[#This Row],[name_club2]],"_",Tabla2[[#This Row],[npartido]])</f>
        <v>MANCHEGO TALENTS_5</v>
      </c>
      <c r="G250" s="5" t="s">
        <v>826</v>
      </c>
      <c r="H250" t="s">
        <v>26</v>
      </c>
      <c r="I250" t="s">
        <v>985</v>
      </c>
      <c r="J250" t="s">
        <v>986</v>
      </c>
      <c r="K250" t="s">
        <v>987</v>
      </c>
      <c r="L250" t="s">
        <v>988</v>
      </c>
      <c r="M250" t="s">
        <v>18</v>
      </c>
      <c r="P250" t="s">
        <v>1013</v>
      </c>
      <c r="R250" t="s">
        <v>89</v>
      </c>
      <c r="S250" t="s">
        <v>20</v>
      </c>
    </row>
    <row r="251" spans="1:19" x14ac:dyDescent="0.25">
      <c r="A251" s="7" t="str">
        <f>CONCATENATE(Tabla2[[#This Row],[name_club1]]," vs ",Tabla2[[#This Row],[match_filter]])</f>
        <v>ACARSUR vs MANCHEGO TALENTS_5</v>
      </c>
      <c r="B251" t="s">
        <v>825</v>
      </c>
      <c r="C251" t="s">
        <v>92</v>
      </c>
      <c r="D251" t="s">
        <v>560</v>
      </c>
      <c r="E251" s="1">
        <v>5</v>
      </c>
      <c r="F251" s="7" t="str">
        <f>CONCATENATE(Tabla2[[#This Row],[name_club2]],"_",Tabla2[[#This Row],[npartido]])</f>
        <v>MANCHEGO TALENTS_5</v>
      </c>
      <c r="G251" s="5" t="s">
        <v>826</v>
      </c>
      <c r="H251" t="s">
        <v>429</v>
      </c>
      <c r="I251" t="s">
        <v>157</v>
      </c>
      <c r="J251" t="s">
        <v>989</v>
      </c>
      <c r="K251" t="s">
        <v>990</v>
      </c>
      <c r="L251" t="s">
        <v>991</v>
      </c>
      <c r="M251" t="s">
        <v>23</v>
      </c>
      <c r="P251" t="s">
        <v>1013</v>
      </c>
      <c r="R251" t="s">
        <v>89</v>
      </c>
      <c r="S251" t="s">
        <v>20</v>
      </c>
    </row>
    <row r="252" spans="1:19" x14ac:dyDescent="0.25">
      <c r="A252" s="7" t="str">
        <f>CONCATENATE(Tabla2[[#This Row],[name_club1]]," vs ",Tabla2[[#This Row],[match_filter]])</f>
        <v>ACARSUR vs MANCHEGO TALENTS_5</v>
      </c>
      <c r="B252" t="s">
        <v>825</v>
      </c>
      <c r="C252" t="s">
        <v>92</v>
      </c>
      <c r="D252" t="s">
        <v>560</v>
      </c>
      <c r="E252" s="1">
        <v>5</v>
      </c>
      <c r="F252" s="7" t="str">
        <f>CONCATENATE(Tabla2[[#This Row],[name_club2]],"_",Tabla2[[#This Row],[npartido]])</f>
        <v>MANCHEGO TALENTS_5</v>
      </c>
      <c r="G252" s="5" t="s">
        <v>826</v>
      </c>
      <c r="H252" t="s">
        <v>24</v>
      </c>
      <c r="I252" t="s">
        <v>992</v>
      </c>
      <c r="J252" t="s">
        <v>993</v>
      </c>
      <c r="K252" t="s">
        <v>994</v>
      </c>
      <c r="L252" t="s">
        <v>995</v>
      </c>
      <c r="M252" t="s">
        <v>18</v>
      </c>
      <c r="P252" t="s">
        <v>1013</v>
      </c>
      <c r="R252" t="s">
        <v>89</v>
      </c>
      <c r="S252" t="s">
        <v>20</v>
      </c>
    </row>
    <row r="253" spans="1:19" x14ac:dyDescent="0.25">
      <c r="A253" s="7" t="str">
        <f>CONCATENATE(Tabla2[[#This Row],[name_club1]]," vs ",Tabla2[[#This Row],[match_filter]])</f>
        <v>ACARSUR vs MANCHEGO TALENTS_5</v>
      </c>
      <c r="B253" t="s">
        <v>825</v>
      </c>
      <c r="C253" t="s">
        <v>92</v>
      </c>
      <c r="D253" t="s">
        <v>560</v>
      </c>
      <c r="E253" s="1">
        <v>5</v>
      </c>
      <c r="F253" s="7" t="str">
        <f>CONCATENATE(Tabla2[[#This Row],[name_club2]],"_",Tabla2[[#This Row],[npartido]])</f>
        <v>MANCHEGO TALENTS_5</v>
      </c>
      <c r="G253" s="5" t="s">
        <v>826</v>
      </c>
      <c r="H253" t="s">
        <v>24</v>
      </c>
      <c r="I253" t="s">
        <v>994</v>
      </c>
      <c r="J253" t="s">
        <v>996</v>
      </c>
      <c r="K253" t="s">
        <v>997</v>
      </c>
      <c r="L253" t="s">
        <v>998</v>
      </c>
      <c r="M253" t="s">
        <v>18</v>
      </c>
      <c r="P253" t="s">
        <v>1013</v>
      </c>
      <c r="R253" t="s">
        <v>89</v>
      </c>
      <c r="S253" t="s">
        <v>20</v>
      </c>
    </row>
    <row r="254" spans="1:19" x14ac:dyDescent="0.25">
      <c r="A254" s="7" t="str">
        <f>CONCATENATE(Tabla2[[#This Row],[name_club1]]," vs ",Tabla2[[#This Row],[match_filter]])</f>
        <v>ACARSUR vs MANCHEGO TALENTS_5</v>
      </c>
      <c r="B254" t="s">
        <v>825</v>
      </c>
      <c r="C254" t="s">
        <v>92</v>
      </c>
      <c r="D254" t="s">
        <v>560</v>
      </c>
      <c r="E254" s="1">
        <v>5</v>
      </c>
      <c r="F254" s="7" t="str">
        <f>CONCATENATE(Tabla2[[#This Row],[name_club2]],"_",Tabla2[[#This Row],[npartido]])</f>
        <v>MANCHEGO TALENTS_5</v>
      </c>
      <c r="G254" s="5" t="s">
        <v>826</v>
      </c>
      <c r="H254" t="s">
        <v>28</v>
      </c>
      <c r="I254" t="s">
        <v>802</v>
      </c>
      <c r="J254" t="s">
        <v>803</v>
      </c>
      <c r="K254" t="s">
        <v>804</v>
      </c>
      <c r="L254" t="s">
        <v>805</v>
      </c>
      <c r="M254" t="s">
        <v>18</v>
      </c>
      <c r="P254" t="s">
        <v>561</v>
      </c>
      <c r="R254" t="s">
        <v>89</v>
      </c>
      <c r="S254" t="s">
        <v>20</v>
      </c>
    </row>
    <row r="255" spans="1:19" x14ac:dyDescent="0.25">
      <c r="A255" s="7" t="str">
        <f>CONCATENATE(Tabla2[[#This Row],[name_club1]]," vs ",Tabla2[[#This Row],[match_filter]])</f>
        <v>ACARSUR vs MANCHEGO TALENTS_5</v>
      </c>
      <c r="B255" t="s">
        <v>825</v>
      </c>
      <c r="C255" t="s">
        <v>92</v>
      </c>
      <c r="D255" t="s">
        <v>560</v>
      </c>
      <c r="E255" s="1">
        <v>5</v>
      </c>
      <c r="F255" s="7" t="str">
        <f>CONCATENATE(Tabla2[[#This Row],[name_club2]],"_",Tabla2[[#This Row],[npartido]])</f>
        <v>MANCHEGO TALENTS_5</v>
      </c>
      <c r="G255" s="5" t="s">
        <v>826</v>
      </c>
      <c r="H255" t="s">
        <v>27</v>
      </c>
      <c r="I255" t="s">
        <v>806</v>
      </c>
      <c r="J255" t="s">
        <v>807</v>
      </c>
      <c r="K255" t="s">
        <v>808</v>
      </c>
      <c r="L255" t="s">
        <v>809</v>
      </c>
      <c r="M255" t="s">
        <v>18</v>
      </c>
      <c r="P255" t="s">
        <v>561</v>
      </c>
      <c r="R255" t="s">
        <v>89</v>
      </c>
      <c r="S255" t="s">
        <v>20</v>
      </c>
    </row>
    <row r="256" spans="1:19" x14ac:dyDescent="0.25">
      <c r="A256" s="7" t="str">
        <f>CONCATENATE(Tabla2[[#This Row],[name_club1]]," vs ",Tabla2[[#This Row],[match_filter]])</f>
        <v>ACARSUR vs MANCHEGO TALENTS_5</v>
      </c>
      <c r="B256" t="s">
        <v>825</v>
      </c>
      <c r="C256" t="s">
        <v>92</v>
      </c>
      <c r="D256" t="s">
        <v>560</v>
      </c>
      <c r="E256" s="1">
        <v>5</v>
      </c>
      <c r="F256" s="7" t="str">
        <f>CONCATENATE(Tabla2[[#This Row],[name_club2]],"_",Tabla2[[#This Row],[npartido]])</f>
        <v>MANCHEGO TALENTS_5</v>
      </c>
      <c r="G256" s="5" t="s">
        <v>826</v>
      </c>
      <c r="H256" t="s">
        <v>26</v>
      </c>
      <c r="I256" t="s">
        <v>999</v>
      </c>
      <c r="J256" t="s">
        <v>1000</v>
      </c>
      <c r="K256" t="s">
        <v>539</v>
      </c>
      <c r="L256" t="s">
        <v>1001</v>
      </c>
      <c r="M256" t="s">
        <v>18</v>
      </c>
      <c r="P256" t="s">
        <v>1013</v>
      </c>
      <c r="R256" t="s">
        <v>89</v>
      </c>
      <c r="S256" t="s">
        <v>20</v>
      </c>
    </row>
    <row r="257" spans="1:19" x14ac:dyDescent="0.25">
      <c r="A257" s="7" t="str">
        <f>CONCATENATE(Tabla2[[#This Row],[name_club1]]," vs ",Tabla2[[#This Row],[match_filter]])</f>
        <v>ACARSUR vs MANCHEGO TALENTS_5</v>
      </c>
      <c r="B257" t="s">
        <v>825</v>
      </c>
      <c r="C257" t="s">
        <v>92</v>
      </c>
      <c r="D257" t="s">
        <v>560</v>
      </c>
      <c r="E257" s="1">
        <v>5</v>
      </c>
      <c r="F257" s="7" t="str">
        <f>CONCATENATE(Tabla2[[#This Row],[name_club2]],"_",Tabla2[[#This Row],[npartido]])</f>
        <v>MANCHEGO TALENTS_5</v>
      </c>
      <c r="G257" s="5" t="s">
        <v>826</v>
      </c>
      <c r="H257" t="s">
        <v>17</v>
      </c>
      <c r="I257" t="s">
        <v>810</v>
      </c>
      <c r="J257" t="s">
        <v>811</v>
      </c>
      <c r="K257" t="s">
        <v>812</v>
      </c>
      <c r="L257" t="s">
        <v>813</v>
      </c>
      <c r="M257" t="s">
        <v>18</v>
      </c>
      <c r="P257" t="s">
        <v>561</v>
      </c>
      <c r="R257" t="s">
        <v>89</v>
      </c>
      <c r="S257" t="s">
        <v>20</v>
      </c>
    </row>
    <row r="258" spans="1:19" x14ac:dyDescent="0.25">
      <c r="A258" s="7" t="str">
        <f>CONCATENATE(Tabla2[[#This Row],[name_club1]]," vs ",Tabla2[[#This Row],[match_filter]])</f>
        <v>ACARSUR vs MANCHEGO TALENTS_5</v>
      </c>
      <c r="B258" t="s">
        <v>825</v>
      </c>
      <c r="C258" t="s">
        <v>92</v>
      </c>
      <c r="D258" t="s">
        <v>560</v>
      </c>
      <c r="E258" s="1">
        <v>5</v>
      </c>
      <c r="F258" s="7" t="str">
        <f>CONCATENATE(Tabla2[[#This Row],[name_club2]],"_",Tabla2[[#This Row],[npartido]])</f>
        <v>MANCHEGO TALENTS_5</v>
      </c>
      <c r="G258" s="5" t="s">
        <v>826</v>
      </c>
      <c r="H258" t="s">
        <v>24</v>
      </c>
      <c r="I258" t="s">
        <v>814</v>
      </c>
      <c r="J258" t="s">
        <v>815</v>
      </c>
      <c r="K258" t="s">
        <v>816</v>
      </c>
      <c r="L258" t="s">
        <v>817</v>
      </c>
      <c r="M258" t="s">
        <v>23</v>
      </c>
      <c r="P258" t="s">
        <v>561</v>
      </c>
      <c r="R258" t="s">
        <v>89</v>
      </c>
      <c r="S258" t="s">
        <v>20</v>
      </c>
    </row>
    <row r="259" spans="1:19" x14ac:dyDescent="0.25">
      <c r="A259" s="7" t="str">
        <f>CONCATENATE(Tabla2[[#This Row],[name_club1]]," vs ",Tabla2[[#This Row],[match_filter]])</f>
        <v>ACARSUR vs MANCHEGO TALENTS_5</v>
      </c>
      <c r="B259" t="s">
        <v>825</v>
      </c>
      <c r="C259" t="s">
        <v>92</v>
      </c>
      <c r="D259" t="s">
        <v>560</v>
      </c>
      <c r="E259" s="1">
        <v>5</v>
      </c>
      <c r="F259" s="7" t="str">
        <f>CONCATENATE(Tabla2[[#This Row],[name_club2]],"_",Tabla2[[#This Row],[npartido]])</f>
        <v>MANCHEGO TALENTS_5</v>
      </c>
      <c r="G259" s="5" t="s">
        <v>826</v>
      </c>
      <c r="H259" t="s">
        <v>29</v>
      </c>
      <c r="I259" t="s">
        <v>818</v>
      </c>
      <c r="J259" t="s">
        <v>819</v>
      </c>
      <c r="K259" t="s">
        <v>336</v>
      </c>
      <c r="L259" t="s">
        <v>820</v>
      </c>
      <c r="M259" t="s">
        <v>18</v>
      </c>
      <c r="P259" t="s">
        <v>561</v>
      </c>
      <c r="R259" t="s">
        <v>89</v>
      </c>
      <c r="S259" t="s">
        <v>20</v>
      </c>
    </row>
    <row r="260" spans="1:19" x14ac:dyDescent="0.25">
      <c r="A260" s="7" t="str">
        <f>CONCATENATE(Tabla2[[#This Row],[name_club1]]," vs ",Tabla2[[#This Row],[match_filter]])</f>
        <v>ACARSUR vs MANCHEGO TALENTS_5</v>
      </c>
      <c r="B260" t="s">
        <v>825</v>
      </c>
      <c r="C260" t="s">
        <v>92</v>
      </c>
      <c r="D260" t="s">
        <v>560</v>
      </c>
      <c r="E260" s="1">
        <v>5</v>
      </c>
      <c r="F260" s="7" t="str">
        <f>CONCATENATE(Tabla2[[#This Row],[name_club2]],"_",Tabla2[[#This Row],[npartido]])</f>
        <v>MANCHEGO TALENTS_5</v>
      </c>
      <c r="G260" s="5" t="s">
        <v>826</v>
      </c>
      <c r="H260" t="s">
        <v>17</v>
      </c>
      <c r="I260" t="s">
        <v>821</v>
      </c>
      <c r="J260" t="s">
        <v>337</v>
      </c>
      <c r="K260" t="s">
        <v>822</v>
      </c>
      <c r="L260" t="s">
        <v>823</v>
      </c>
      <c r="M260" t="s">
        <v>23</v>
      </c>
      <c r="P260" t="s">
        <v>561</v>
      </c>
      <c r="R260" t="s">
        <v>89</v>
      </c>
      <c r="S260" t="s">
        <v>20</v>
      </c>
    </row>
    <row r="261" spans="1:19" x14ac:dyDescent="0.25">
      <c r="A261" s="7" t="str">
        <f>CONCATENATE(Tabla2[[#This Row],[name_club1]]," vs ",Tabla2[[#This Row],[match_filter]])</f>
        <v>ACARSUR vs MANCHEGO TALENTS_5</v>
      </c>
      <c r="B261" t="s">
        <v>825</v>
      </c>
      <c r="C261" t="s">
        <v>92</v>
      </c>
      <c r="D261" t="s">
        <v>560</v>
      </c>
      <c r="E261" s="1">
        <v>5</v>
      </c>
      <c r="F261" s="7" t="str">
        <f>CONCATENATE(Tabla2[[#This Row],[name_club2]],"_",Tabla2[[#This Row],[npartido]])</f>
        <v>MANCHEGO TALENTS_5</v>
      </c>
      <c r="G261" s="5" t="s">
        <v>826</v>
      </c>
      <c r="H261" t="s">
        <v>567</v>
      </c>
      <c r="I261" t="s">
        <v>1002</v>
      </c>
      <c r="J261" t="s">
        <v>1003</v>
      </c>
      <c r="K261" t="s">
        <v>1004</v>
      </c>
      <c r="L261" t="s">
        <v>1005</v>
      </c>
      <c r="P261" t="s">
        <v>561</v>
      </c>
      <c r="R261" t="s">
        <v>89</v>
      </c>
      <c r="S261" t="s">
        <v>20</v>
      </c>
    </row>
    <row r="262" spans="1:19" x14ac:dyDescent="0.25">
      <c r="A262" s="7" t="str">
        <f>CONCATENATE(Tabla2[[#This Row],[name_club1]]," vs ",Tabla2[[#This Row],[match_filter]])</f>
        <v>ACARSUR vs MANCHEGO TALENTS_5</v>
      </c>
      <c r="B262" t="s">
        <v>825</v>
      </c>
      <c r="C262" t="s">
        <v>92</v>
      </c>
      <c r="D262" t="s">
        <v>560</v>
      </c>
      <c r="E262" s="1">
        <v>5</v>
      </c>
      <c r="F262" s="7" t="str">
        <f>CONCATENATE(Tabla2[[#This Row],[name_club2]],"_",Tabla2[[#This Row],[npartido]])</f>
        <v>MANCHEGO TALENTS_5</v>
      </c>
      <c r="G262" s="5" t="s">
        <v>826</v>
      </c>
      <c r="H262" t="s">
        <v>24</v>
      </c>
      <c r="I262" t="s">
        <v>1006</v>
      </c>
      <c r="J262" t="s">
        <v>1007</v>
      </c>
      <c r="K262" t="s">
        <v>1008</v>
      </c>
      <c r="L262" t="s">
        <v>1009</v>
      </c>
      <c r="M262" t="s">
        <v>18</v>
      </c>
      <c r="P262" t="s">
        <v>1013</v>
      </c>
      <c r="R262" t="s">
        <v>89</v>
      </c>
      <c r="S262" t="s">
        <v>20</v>
      </c>
    </row>
    <row r="263" spans="1:19" x14ac:dyDescent="0.25">
      <c r="A263" s="7" t="str">
        <f>CONCATENATE(Tabla2[[#This Row],[name_club1]]," vs ",Tabla2[[#This Row],[match_filter]])</f>
        <v>ACARSUR vs MANCHEGO TALENTS_5</v>
      </c>
      <c r="B263" t="s">
        <v>825</v>
      </c>
      <c r="C263" t="s">
        <v>92</v>
      </c>
      <c r="D263" t="s">
        <v>560</v>
      </c>
      <c r="E263" s="1">
        <v>5</v>
      </c>
      <c r="F263" s="7" t="str">
        <f>CONCATENATE(Tabla2[[#This Row],[name_club2]],"_",Tabla2[[#This Row],[npartido]])</f>
        <v>MANCHEGO TALENTS_5</v>
      </c>
      <c r="G263" s="5" t="s">
        <v>826</v>
      </c>
      <c r="H263" t="s">
        <v>26</v>
      </c>
      <c r="I263" t="s">
        <v>1010</v>
      </c>
      <c r="J263" t="s">
        <v>1011</v>
      </c>
      <c r="K263" t="s">
        <v>340</v>
      </c>
      <c r="L263" t="s">
        <v>1012</v>
      </c>
      <c r="P263" t="s">
        <v>1013</v>
      </c>
      <c r="R263" t="s">
        <v>89</v>
      </c>
      <c r="S263" t="s">
        <v>20</v>
      </c>
    </row>
  </sheetData>
  <hyperlinks>
    <hyperlink ref="G84" r:id="rId1" xr:uid="{3159FB72-6E0B-49D0-A3F8-5F500F1ED817}"/>
    <hyperlink ref="G85:G139" r:id="rId2" display="https://www.youtube.com/watch?v=ZcG_GWbCU0U" xr:uid="{701DDA9B-EC2A-4054-8807-03DC8F40F9F8}"/>
    <hyperlink ref="G140:G170" r:id="rId3" display="https://www.youtube.com/watch?v=ZcG_GWbCU0U" xr:uid="{128ED55C-7A00-451E-B7A0-63031AFB3D07}"/>
    <hyperlink ref="G171" r:id="rId4" xr:uid="{57479508-E015-444F-9870-34F1E64ACD13}"/>
    <hyperlink ref="G172:G211" r:id="rId5" display="https://www.youtube.com/watch?v=oWSnLjv2v9k" xr:uid="{7D2D6F6A-8E52-41CF-9865-3537C0535B45}"/>
    <hyperlink ref="G212:G263" r:id="rId6" display="https://www.youtube.com/watch?v=oWSnLjv2v9k" xr:uid="{2749CD5B-1A12-4C9A-A8D9-8A149DAC5BE3}"/>
  </hyperlinks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2025-10-30T00:18:47Z</dcterms:modified>
</cp:coreProperties>
</file>