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RAC SPORTECH\CLIENTES\ACARSUR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E5" i="1"/>
  <c r="E2" i="1" l="1"/>
  <c r="H2" i="1" s="1"/>
  <c r="E3" i="1"/>
  <c r="H3" i="1" s="1"/>
  <c r="E4" i="1"/>
</calcChain>
</file>

<file path=xl/sharedStrings.xml><?xml version="1.0" encoding="utf-8"?>
<sst xmlns="http://schemas.openxmlformats.org/spreadsheetml/2006/main" count="26" uniqueCount="17">
  <si>
    <t>AREQUIPA</t>
  </si>
  <si>
    <t>id_club</t>
  </si>
  <si>
    <t>name_club</t>
  </si>
  <si>
    <t>id_provincia</t>
  </si>
  <si>
    <t>id_departamento</t>
  </si>
  <si>
    <t>id_distrito</t>
  </si>
  <si>
    <t>name_distrito</t>
  </si>
  <si>
    <t>name_departamento</t>
  </si>
  <si>
    <t>FBC AURORA</t>
  </si>
  <si>
    <t>n_club</t>
  </si>
  <si>
    <t>01</t>
  </si>
  <si>
    <t>02</t>
  </si>
  <si>
    <t>FCR SAN ANTONIO</t>
  </si>
  <si>
    <t>MOQUEGUA</t>
  </si>
  <si>
    <t>id_completo</t>
  </si>
  <si>
    <t>MI CLUB</t>
  </si>
  <si>
    <t>ACARSUR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</si>
</sst>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I5" totalsRowShown="0" headerRowDxfId="4">
  <autoFilter ref="A1:I5"/>
  <sortState ref="A2:H16">
    <sortCondition ref="D1:D16"/>
  </sortState>
  <tableColumns count="9">
    <tableColumn id="1" name="id_departamento"/>
    <tableColumn id="2" name="name_departamento"/>
    <tableColumn id="3" name="id_provincia" dataDxfId="3"/>
    <tableColumn id="4" name="id_distrito" dataDxfId="2"/>
    <tableColumn id="9" name="id_completo" dataDxfId="1">
      <calculatedColumnFormula>CONCATENATE(Tabla1[[#This Row],[id_departamento]],Tabla1[[#This Row],[id_provincia]],Tabla1[[#This Row],[id_distrito]])</calculatedColumnFormula>
    </tableColumn>
    <tableColumn id="5" name="name_distrito"/>
    <tableColumn id="8" name="n_club" dataDxfId="0"/>
    <tableColumn id="6" name="id_club"/>
    <tableColumn id="7" name="name_club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2.42578125" customWidth="1"/>
    <col min="2" max="2" width="21.85546875" customWidth="1"/>
    <col min="3" max="3" width="14" customWidth="1"/>
    <col min="4" max="5" width="12.28515625" customWidth="1"/>
    <col min="6" max="6" width="30.7109375" bestFit="1" customWidth="1"/>
    <col min="7" max="7" width="30.7109375" customWidth="1"/>
    <col min="8" max="8" width="9.5703125" customWidth="1"/>
    <col min="9" max="9" width="23" bestFit="1" customWidth="1"/>
  </cols>
  <sheetData>
    <row r="1" spans="1:9" s="1" customFormat="1" x14ac:dyDescent="0.25">
      <c r="A1" s="1" t="s">
        <v>4</v>
      </c>
      <c r="B1" s="1" t="s">
        <v>7</v>
      </c>
      <c r="C1" s="1" t="s">
        <v>3</v>
      </c>
      <c r="D1" s="1" t="s">
        <v>5</v>
      </c>
      <c r="E1" s="1" t="s">
        <v>14</v>
      </c>
      <c r="F1" s="1" t="s">
        <v>6</v>
      </c>
      <c r="G1" s="1" t="s">
        <v>9</v>
      </c>
      <c r="H1" s="1" t="s">
        <v>1</v>
      </c>
      <c r="I1" s="1" t="s">
        <v>2</v>
      </c>
    </row>
    <row r="2" spans="1:9" x14ac:dyDescent="0.25">
      <c r="A2">
        <v>4</v>
      </c>
      <c r="B2" t="s">
        <v>0</v>
      </c>
      <c r="C2" s="2" t="s">
        <v>10</v>
      </c>
      <c r="D2" s="2" t="s">
        <v>10</v>
      </c>
      <c r="E2" t="str">
        <f>CONCATENATE(Tabla1[[#This Row],[id_departamento]],Tabla1[[#This Row],[id_provincia]],Tabla1[[#This Row],[id_distrito]])</f>
        <v>40101</v>
      </c>
      <c r="F2" t="s">
        <v>0</v>
      </c>
      <c r="G2" s="2" t="s">
        <v>10</v>
      </c>
      <c r="H2" t="str">
        <f>CONCATENATE(E2,Tabla1[[#This Row],[n_club]])</f>
        <v>4010101</v>
      </c>
      <c r="I2" t="s">
        <v>8</v>
      </c>
    </row>
    <row r="3" spans="1:9" x14ac:dyDescent="0.25">
      <c r="A3">
        <v>18</v>
      </c>
      <c r="B3" t="s">
        <v>13</v>
      </c>
      <c r="C3" s="2" t="s">
        <v>10</v>
      </c>
      <c r="D3" s="2"/>
      <c r="E3" t="str">
        <f>CONCATENATE(Tabla1[[#This Row],[id_departamento]],Tabla1[[#This Row],[id_provincia]],Tabla1[[#This Row],[id_distrito]])</f>
        <v>1801</v>
      </c>
      <c r="G3" s="2" t="s">
        <v>10</v>
      </c>
      <c r="H3" t="str">
        <f>CONCATENATE(E3,Tabla1[[#This Row],[n_club]])</f>
        <v>180101</v>
      </c>
      <c r="I3" t="s">
        <v>12</v>
      </c>
    </row>
    <row r="4" spans="1:9" x14ac:dyDescent="0.25">
      <c r="C4" s="2"/>
      <c r="D4" s="2"/>
      <c r="E4" t="str">
        <f>CONCATENATE(Tabla1[[#This Row],[id_departamento]],Tabla1[[#This Row],[id_provincia]],Tabla1[[#This Row],[id_distrito]])</f>
        <v/>
      </c>
      <c r="G4" s="2"/>
      <c r="H4">
        <v>0</v>
      </c>
      <c r="I4" t="s">
        <v>15</v>
      </c>
    </row>
    <row r="5" spans="1:9" x14ac:dyDescent="0.25">
      <c r="A5">
        <v>4</v>
      </c>
      <c r="B5" t="s">
        <v>0</v>
      </c>
      <c r="C5" s="2" t="s">
        <v>10</v>
      </c>
      <c r="D5" s="2" t="s">
        <v>10</v>
      </c>
      <c r="E5" s="3" t="str">
        <f>CONCATENATE(Tabla1[[#This Row],[id_departamento]],Tabla1[[#This Row],[id_provincia]],Tabla1[[#This Row],[id_distrito]])</f>
        <v>40101</v>
      </c>
      <c r="F5" t="s">
        <v>0</v>
      </c>
      <c r="G5" s="2" t="s">
        <v>11</v>
      </c>
      <c r="H5" t="str">
        <f>CONCATENATE(E5,Tabla1[[#This Row],[n_club]])</f>
        <v>4010102</v>
      </c>
      <c r="I5" t="s">
        <v>16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 SOLUCIONES</dc:creator>
  <cp:lastModifiedBy>Usuario</cp:lastModifiedBy>
  <dcterms:created xsi:type="dcterms:W3CDTF">2015-06-05T18:19:34Z</dcterms:created>
  <dcterms:modified xsi:type="dcterms:W3CDTF">2025-07-15T22:17:40Z</dcterms:modified>
</cp:coreProperties>
</file>